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DELL\Desktop\"/>
    </mc:Choice>
  </mc:AlternateContent>
  <xr:revisionPtr revIDLastSave="0" documentId="13_ncr:1_{2F77F63F-6607-441D-AC03-D76AFFF05D3B}" xr6:coauthVersionLast="47" xr6:coauthVersionMax="47" xr10:uidLastSave="{00000000-0000-0000-0000-000000000000}"/>
  <bookViews>
    <workbookView xWindow="-108" yWindow="-108" windowWidth="23256" windowHeight="12456" firstSheet="1" activeTab="2" xr2:uid="{9A2FD1D0-6009-4787-B860-EBB015DC82E4}"/>
  </bookViews>
  <sheets>
    <sheet name="SuperMarket" sheetId="2" r:id="rId1"/>
    <sheet name="Calculs_TCD" sheetId="1" r:id="rId2"/>
    <sheet name="DASHBOARD" sheetId="3" r:id="rId3"/>
  </sheets>
  <definedNames>
    <definedName name="_xlcn.WorksheetConnection_SuperMarket.xlsxSuperMarket1" hidden="1">SuperMarket[]</definedName>
    <definedName name="DonnéesExternes_1" localSheetId="0" hidden="1">SuperMarket!$A$1:$H$271</definedName>
    <definedName name="Segment_MOIS">#N/A</definedName>
    <definedName name="Segment_Ville">#N/A</definedName>
  </definedNames>
  <calcPr calcId="191029"/>
  <pivotCaches>
    <pivotCache cacheId="7" r:id="rId4"/>
    <pivotCache cacheId="11" r:id="rId5"/>
    <pivotCache cacheId="33" r:id="rId6"/>
    <pivotCache cacheId="39"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uperMarket" name="SuperMarket" connection="WorksheetConnection_SuperMarket.xlsx!SuperMarket"/>
        </x15:modelTables>
      </x15:dataModel>
    </ext>
  </extLst>
</workbook>
</file>

<file path=xl/calcChain.xml><?xml version="1.0" encoding="utf-8"?>
<calcChain xmlns="http://schemas.openxmlformats.org/spreadsheetml/2006/main">
  <c r="L2" i="2" l="1"/>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K2" i="2"/>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J2" i="2"/>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I2" i="2"/>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9AAFE70-FC9E-4D8B-94A3-FE6A9BF911BD}" keepAlive="1" name="Requête - SuperMarket" description="Connexion à la requête « SuperMarket » dans le classeur." type="5" refreshedVersion="8" background="1" saveData="1">
    <dbPr connection="Provider=Microsoft.Mashup.OleDb.1;Data Source=$Workbook$;Location=SuperMarket;Extended Properties=&quot;&quot;" command="SELECT * FROM [SuperMarket]"/>
  </connection>
  <connection id="2" xr16:uid="{89110080-D570-492C-AD38-AC744757E6A6}" keepAlive="1" name="ThisWorkbookDataModel" description="Modèle de données"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3053F76F-8260-46B2-969E-A2BB55C290E2}" name="WorksheetConnection_SuperMarket.xlsx!SuperMarket" type="102" refreshedVersion="8" minRefreshableVersion="5">
    <extLst>
      <ext xmlns:x15="http://schemas.microsoft.com/office/spreadsheetml/2010/11/main" uri="{DE250136-89BD-433C-8126-D09CA5730AF9}">
        <x15:connection id="SuperMarket" autoDelete="1">
          <x15:rangePr sourceName="_xlcn.WorksheetConnection_SuperMarket.xlsxSuperMarket1"/>
        </x15:connection>
      </ext>
    </extLst>
  </connection>
</connections>
</file>

<file path=xl/sharedStrings.xml><?xml version="1.0" encoding="utf-8"?>
<sst xmlns="http://schemas.openxmlformats.org/spreadsheetml/2006/main" count="2263" uniqueCount="748">
  <si>
    <t>ID_Vente</t>
  </si>
  <si>
    <t>Date</t>
  </si>
  <si>
    <t>Rayon</t>
  </si>
  <si>
    <t>Produit</t>
  </si>
  <si>
    <t>Marque</t>
  </si>
  <si>
    <t>Ville</t>
  </si>
  <si>
    <t>Qté</t>
  </si>
  <si>
    <t>Prix_Unit</t>
  </si>
  <si>
    <t>S-001</t>
  </si>
  <si>
    <t>05/01/2026</t>
  </si>
  <si>
    <t>Alimentaire</t>
  </si>
  <si>
    <t>Riz Parfumé 5kg</t>
  </si>
  <si>
    <t>Neïma</t>
  </si>
  <si>
    <t>Douala</t>
  </si>
  <si>
    <t>10</t>
  </si>
  <si>
    <t>4500</t>
  </si>
  <si>
    <t>S-002</t>
  </si>
  <si>
    <t>12/01/2026</t>
  </si>
  <si>
    <t>Entretien</t>
  </si>
  <si>
    <t>Savon ménage</t>
  </si>
  <si>
    <t>OMO</t>
  </si>
  <si>
    <t>Yaoundé</t>
  </si>
  <si>
    <t>5</t>
  </si>
  <si>
    <t>1200</t>
  </si>
  <si>
    <t>S-003</t>
  </si>
  <si>
    <t>15/01/2026</t>
  </si>
  <si>
    <t>Boissons</t>
  </si>
  <si>
    <t>Eau Minérale 1.5L</t>
  </si>
  <si>
    <t>TANGUI</t>
  </si>
  <si>
    <t>Garoua</t>
  </si>
  <si>
    <t>20</t>
  </si>
  <si>
    <t>400</t>
  </si>
  <si>
    <t>S-004</t>
  </si>
  <si>
    <t>22/01/2026</t>
  </si>
  <si>
    <t>Beauté</t>
  </si>
  <si>
    <t>Lait de toilette</t>
  </si>
  <si>
    <t>NIVEA</t>
  </si>
  <si>
    <t>Bafoussam</t>
  </si>
  <si>
    <t>2</t>
  </si>
  <si>
    <t>3500</t>
  </si>
  <si>
    <t>S-005</t>
  </si>
  <si>
    <t>02/02/2026</t>
  </si>
  <si>
    <t>Jus de fruits</t>
  </si>
  <si>
    <t>TOP</t>
  </si>
  <si>
    <t>15</t>
  </si>
  <si>
    <t>600</t>
  </si>
  <si>
    <t>S-006</t>
  </si>
  <si>
    <t>14/02/2026</t>
  </si>
  <si>
    <t>Huile Végétale</t>
  </si>
  <si>
    <t>JADIDA</t>
  </si>
  <si>
    <t>8</t>
  </si>
  <si>
    <t>1100</t>
  </si>
  <si>
    <t>S-007</t>
  </si>
  <si>
    <t>25/02/2026</t>
  </si>
  <si>
    <t>Javel 1L</t>
  </si>
  <si>
    <t>LACROIX</t>
  </si>
  <si>
    <t>Kribi</t>
  </si>
  <si>
    <t>4</t>
  </si>
  <si>
    <t>850</t>
  </si>
  <si>
    <t>S-008</t>
  </si>
  <si>
    <t>05/03/2026</t>
  </si>
  <si>
    <t>Bière Blonde</t>
  </si>
  <si>
    <t>CASTEL</t>
  </si>
  <si>
    <t>24</t>
  </si>
  <si>
    <t>650</t>
  </si>
  <si>
    <t>S-009</t>
  </si>
  <si>
    <t>15/03/2026</t>
  </si>
  <si>
    <t>Savon Toilette</t>
  </si>
  <si>
    <t>CAMAY</t>
  </si>
  <si>
    <t>12</t>
  </si>
  <si>
    <t>500</t>
  </si>
  <si>
    <t>S-010</t>
  </si>
  <si>
    <t>30/03/2026</t>
  </si>
  <si>
    <t>Pâtes 500g</t>
  </si>
  <si>
    <t>PANZANI</t>
  </si>
  <si>
    <t>S-011</t>
  </si>
  <si>
    <t>04/04/2026</t>
  </si>
  <si>
    <t>Vin Rouge</t>
  </si>
  <si>
    <t>BVC</t>
  </si>
  <si>
    <t>3</t>
  </si>
  <si>
    <t>S-012</t>
  </si>
  <si>
    <t>12/04/2026</t>
  </si>
  <si>
    <t>Liquide Vaisselle</t>
  </si>
  <si>
    <t>PAIC</t>
  </si>
  <si>
    <t>6</t>
  </si>
  <si>
    <t>S-013</t>
  </si>
  <si>
    <t>25/04/2026</t>
  </si>
  <si>
    <t>Sucre en poudre</t>
  </si>
  <si>
    <t>SOSUCAM</t>
  </si>
  <si>
    <t>S-014</t>
  </si>
  <si>
    <t>02/05/2026</t>
  </si>
  <si>
    <t>Eau Vive</t>
  </si>
  <si>
    <t>SEME</t>
  </si>
  <si>
    <t>40</t>
  </si>
  <si>
    <t>350</t>
  </si>
  <si>
    <t>S-015</t>
  </si>
  <si>
    <t>14/05/2026</t>
  </si>
  <si>
    <t>Shampooing</t>
  </si>
  <si>
    <t>DOVE</t>
  </si>
  <si>
    <t>2500</t>
  </si>
  <si>
    <t>S-016</t>
  </si>
  <si>
    <t>28/05/2026</t>
  </si>
  <si>
    <t>Désodorisant</t>
  </si>
  <si>
    <t>AIRWICK</t>
  </si>
  <si>
    <t>1800</t>
  </si>
  <si>
    <t>S-017</t>
  </si>
  <si>
    <t>05/06/2026</t>
  </si>
  <si>
    <t>Sardines</t>
  </si>
  <si>
    <t>CONNETABLE</t>
  </si>
  <si>
    <t>30</t>
  </si>
  <si>
    <t>S-018</t>
  </si>
  <si>
    <t>15/06/2026</t>
  </si>
  <si>
    <t>Soda</t>
  </si>
  <si>
    <t>DJINO</t>
  </si>
  <si>
    <t>S-019</t>
  </si>
  <si>
    <t>02/07/2026</t>
  </si>
  <si>
    <t>Farine Blé</t>
  </si>
  <si>
    <t>SGMC</t>
  </si>
  <si>
    <t>25</t>
  </si>
  <si>
    <t>750</t>
  </si>
  <si>
    <t>S-020</t>
  </si>
  <si>
    <t>14/07/2026</t>
  </si>
  <si>
    <t>Lessive Poudre</t>
  </si>
  <si>
    <t>ARIEL</t>
  </si>
  <si>
    <t>S-021</t>
  </si>
  <si>
    <t>22/07/2026</t>
  </si>
  <si>
    <t>Dentifrice</t>
  </si>
  <si>
    <t>COLGATE</t>
  </si>
  <si>
    <t>800</t>
  </si>
  <si>
    <t>S-022</t>
  </si>
  <si>
    <t>05/08/2026</t>
  </si>
  <si>
    <t>Yaourt à boire</t>
  </si>
  <si>
    <t>DOLAIT</t>
  </si>
  <si>
    <t>S-023</t>
  </si>
  <si>
    <t>12/08/2026</t>
  </si>
  <si>
    <t>Sel de cuisine</t>
  </si>
  <si>
    <t>UCV</t>
  </si>
  <si>
    <t>50</t>
  </si>
  <si>
    <t>250</t>
  </si>
  <si>
    <t>S-024</t>
  </si>
  <si>
    <t>25/08/2026</t>
  </si>
  <si>
    <t>Éponge vaisselle</t>
  </si>
  <si>
    <t>SCOTCH</t>
  </si>
  <si>
    <t>300</t>
  </si>
  <si>
    <t>S-025</t>
  </si>
  <si>
    <t>02/09/2026</t>
  </si>
  <si>
    <t>Canette Soda</t>
  </si>
  <si>
    <t>VIMTO</t>
  </si>
  <si>
    <t>S-026</t>
  </si>
  <si>
    <t>14/09/2026</t>
  </si>
  <si>
    <t>Crème mains</t>
  </si>
  <si>
    <t>MIXA</t>
  </si>
  <si>
    <t>2200</t>
  </si>
  <si>
    <t>S-027</t>
  </si>
  <si>
    <t>28/09/2026</t>
  </si>
  <si>
    <t>Mayonnaise</t>
  </si>
  <si>
    <t>BAMA</t>
  </si>
  <si>
    <t>S-028</t>
  </si>
  <si>
    <t>05/10/2026</t>
  </si>
  <si>
    <t>Whisky</t>
  </si>
  <si>
    <t>BLACK LABEL</t>
  </si>
  <si>
    <t>25000</t>
  </si>
  <si>
    <t>S-029</t>
  </si>
  <si>
    <t>12/10/2026</t>
  </si>
  <si>
    <t>Nettoyant sol</t>
  </si>
  <si>
    <t>AJAX</t>
  </si>
  <si>
    <t>1400</t>
  </si>
  <si>
    <t>S-030</t>
  </si>
  <si>
    <t>25/10/2026</t>
  </si>
  <si>
    <t>Chocolat tartiner</t>
  </si>
  <si>
    <t>TARTINA</t>
  </si>
  <si>
    <t>S-031</t>
  </si>
  <si>
    <t>02/11/2026</t>
  </si>
  <si>
    <t>Déodorant</t>
  </si>
  <si>
    <t>AXE</t>
  </si>
  <si>
    <t>2800</t>
  </si>
  <si>
    <t>S-032</t>
  </si>
  <si>
    <t>14/11/2026</t>
  </si>
  <si>
    <t>Limonade</t>
  </si>
  <si>
    <t>KADJI</t>
  </si>
  <si>
    <t>700</t>
  </si>
  <si>
    <t>S-033</t>
  </si>
  <si>
    <t>28/11/2026</t>
  </si>
  <si>
    <t>Conserve Tomate</t>
  </si>
  <si>
    <t>REGINA</t>
  </si>
  <si>
    <t>450</t>
  </si>
  <si>
    <t>S-034</t>
  </si>
  <si>
    <t>05/12/2026</t>
  </si>
  <si>
    <t>Sac poubelle</t>
  </si>
  <si>
    <t>PROPRE</t>
  </si>
  <si>
    <t>S-035</t>
  </si>
  <si>
    <t>15/12/2026</t>
  </si>
  <si>
    <t>Champagne</t>
  </si>
  <si>
    <t>MOET</t>
  </si>
  <si>
    <t>1</t>
  </si>
  <si>
    <t>45000</t>
  </si>
  <si>
    <t>S-036</t>
  </si>
  <si>
    <t>20/12/2026</t>
  </si>
  <si>
    <t>Poulet surgelé</t>
  </si>
  <si>
    <t>AGROCAM</t>
  </si>
  <si>
    <t>S-037</t>
  </si>
  <si>
    <t>24/12/2026</t>
  </si>
  <si>
    <t>Coffret Parfum</t>
  </si>
  <si>
    <t>DIOR</t>
  </si>
  <si>
    <t>55000</t>
  </si>
  <si>
    <t>S-038</t>
  </si>
  <si>
    <t>30/12/2026</t>
  </si>
  <si>
    <t>Bière Brune</t>
  </si>
  <si>
    <t>GUINNESS</t>
  </si>
  <si>
    <t>S-039</t>
  </si>
  <si>
    <t>Top Pamplemousse</t>
  </si>
  <si>
    <t>SABC</t>
  </si>
  <si>
    <t>S-040</t>
  </si>
  <si>
    <t>10/01/2026</t>
  </si>
  <si>
    <t>Huile de Palme</t>
  </si>
  <si>
    <t>AZUR</t>
  </si>
  <si>
    <t>1500</t>
  </si>
  <si>
    <t>S-041</t>
  </si>
  <si>
    <t>Eau de Javel</t>
  </si>
  <si>
    <t>S-042</t>
  </si>
  <si>
    <t>20/01/2026</t>
  </si>
  <si>
    <t>Savon Noir</t>
  </si>
  <si>
    <t>BIO</t>
  </si>
  <si>
    <t>S-043</t>
  </si>
  <si>
    <t>25/01/2026</t>
  </si>
  <si>
    <t>Malta Quiness</t>
  </si>
  <si>
    <t>S-044</t>
  </si>
  <si>
    <t>Spaghetti</t>
  </si>
  <si>
    <t>MAMAN</t>
  </si>
  <si>
    <t>S-045</t>
  </si>
  <si>
    <t>10/02/2026</t>
  </si>
  <si>
    <t>Vimto Canette</t>
  </si>
  <si>
    <t>S-046</t>
  </si>
  <si>
    <t>Parfum de luxe</t>
  </si>
  <si>
    <t>CHANEL</t>
  </si>
  <si>
    <t>75000</t>
  </si>
  <si>
    <t>S-047</t>
  </si>
  <si>
    <t>20/02/2026</t>
  </si>
  <si>
    <t>Détergent Poudre</t>
  </si>
  <si>
    <t>MADAR</t>
  </si>
  <si>
    <t>S-048</t>
  </si>
  <si>
    <t>28/02/2026</t>
  </si>
  <si>
    <t>Cube Crevette</t>
  </si>
  <si>
    <t>MAGGI</t>
  </si>
  <si>
    <t>100</t>
  </si>
  <si>
    <t>S-049</t>
  </si>
  <si>
    <t>Eau Minérale 0.5L</t>
  </si>
  <si>
    <t>SUPERMONT</t>
  </si>
  <si>
    <t>S-050</t>
  </si>
  <si>
    <t>12/03/2026</t>
  </si>
  <si>
    <t>Farine de Maïs</t>
  </si>
  <si>
    <t>TANTY</t>
  </si>
  <si>
    <t>950</t>
  </si>
  <si>
    <t>S-051</t>
  </si>
  <si>
    <t>20/03/2026</t>
  </si>
  <si>
    <t>Bière Isenbeck</t>
  </si>
  <si>
    <t>S-052</t>
  </si>
  <si>
    <t>28/03/2026</t>
  </si>
  <si>
    <t>Lait de Corps</t>
  </si>
  <si>
    <t>TOPICREM</t>
  </si>
  <si>
    <t>8500</t>
  </si>
  <si>
    <t>S-053</t>
  </si>
  <si>
    <t>02/04/2026</t>
  </si>
  <si>
    <t>Nettoyant Vitres</t>
  </si>
  <si>
    <t>S-054</t>
  </si>
  <si>
    <t>10/04/2026</t>
  </si>
  <si>
    <t>Café en poudre</t>
  </si>
  <si>
    <t>NESCAFE</t>
  </si>
  <si>
    <t>S-055</t>
  </si>
  <si>
    <t>15/04/2026</t>
  </si>
  <si>
    <t>Jus d'Orange</t>
  </si>
  <si>
    <t>RAUCH</t>
  </si>
  <si>
    <t>S-056</t>
  </si>
  <si>
    <t>22/04/2026</t>
  </si>
  <si>
    <t>Lait en poudre</t>
  </si>
  <si>
    <t>NIDO</t>
  </si>
  <si>
    <t>6500</t>
  </si>
  <si>
    <t>S-057</t>
  </si>
  <si>
    <t>30/04/2026</t>
  </si>
  <si>
    <t>Papier Toilette</t>
  </si>
  <si>
    <t>LOTUS</t>
  </si>
  <si>
    <t>S-058</t>
  </si>
  <si>
    <t>05/05/2026</t>
  </si>
  <si>
    <t>Coca Cola 1.5L</t>
  </si>
  <si>
    <t>S-059</t>
  </si>
  <si>
    <t>12/05/2026</t>
  </si>
  <si>
    <t>Dentifrice Max</t>
  </si>
  <si>
    <t>ORAL-B</t>
  </si>
  <si>
    <t>S-060</t>
  </si>
  <si>
    <t>20/05/2026</t>
  </si>
  <si>
    <t>Thé infusé</t>
  </si>
  <si>
    <t>LIPTON</t>
  </si>
  <si>
    <t>S-061</t>
  </si>
  <si>
    <t>02/06/2026</t>
  </si>
  <si>
    <t>Jus d'Ananas</t>
  </si>
  <si>
    <t>S-062</t>
  </si>
  <si>
    <t>10/06/2026</t>
  </si>
  <si>
    <t>Arôme Liquide</t>
  </si>
  <si>
    <t>S-063</t>
  </si>
  <si>
    <t>S-064</t>
  </si>
  <si>
    <t>22/06/2026</t>
  </si>
  <si>
    <t>Crème Solaire</t>
  </si>
  <si>
    <t>S-065</t>
  </si>
  <si>
    <t>Eau Gazeuse</t>
  </si>
  <si>
    <t>S-066</t>
  </si>
  <si>
    <t>12/07/2026</t>
  </si>
  <si>
    <t>Conserve Petit Pois</t>
  </si>
  <si>
    <t>CASSEGRAIN</t>
  </si>
  <si>
    <t>S-067</t>
  </si>
  <si>
    <t>20/07/2026</t>
  </si>
  <si>
    <t>Lave Glace</t>
  </si>
  <si>
    <t>TOTAL</t>
  </si>
  <si>
    <t>S-068</t>
  </si>
  <si>
    <t>28/07/2026</t>
  </si>
  <si>
    <t>Shampooing Doux</t>
  </si>
  <si>
    <t>S-069</t>
  </si>
  <si>
    <t>Bière Sans Alcool</t>
  </si>
  <si>
    <t>48</t>
  </si>
  <si>
    <t>S-070</t>
  </si>
  <si>
    <t>14/08/2026</t>
  </si>
  <si>
    <t>Chocolat en Poudre</t>
  </si>
  <si>
    <t>MILO</t>
  </si>
  <si>
    <t>4200</t>
  </si>
  <si>
    <t>S-071</t>
  </si>
  <si>
    <t>Essuie-tout</t>
  </si>
  <si>
    <t>OKI</t>
  </si>
  <si>
    <t>S-072</t>
  </si>
  <si>
    <t>Sirop de Grenadine</t>
  </si>
  <si>
    <t>TEISSEIRE</t>
  </si>
  <si>
    <t>3800</t>
  </si>
  <si>
    <t>S-073</t>
  </si>
  <si>
    <t>12/09/2026</t>
  </si>
  <si>
    <t>Biscuits Secs</t>
  </si>
  <si>
    <t>LU</t>
  </si>
  <si>
    <t>S-074</t>
  </si>
  <si>
    <t>20/09/2026</t>
  </si>
  <si>
    <t>Vernis à Ongles</t>
  </si>
  <si>
    <t>MAYBELLINE</t>
  </si>
  <si>
    <t>S-075</t>
  </si>
  <si>
    <t>30/09/2026</t>
  </si>
  <si>
    <t>Insecticide</t>
  </si>
  <si>
    <t>BAYGON</t>
  </si>
  <si>
    <t>S-076</t>
  </si>
  <si>
    <t>Lait de Coco</t>
  </si>
  <si>
    <t>VITACOCO</t>
  </si>
  <si>
    <t>S-077</t>
  </si>
  <si>
    <t>14/10/2026</t>
  </si>
  <si>
    <t>Pâte à tartiner</t>
  </si>
  <si>
    <t>CHOCOCAM</t>
  </si>
  <si>
    <t>S-078</t>
  </si>
  <si>
    <t>Adoucissant</t>
  </si>
  <si>
    <t>SOUPLINE</t>
  </si>
  <si>
    <t>3200</t>
  </si>
  <si>
    <t>S-079</t>
  </si>
  <si>
    <t>Ginger Beer</t>
  </si>
  <si>
    <t>S-080</t>
  </si>
  <si>
    <t>15/11/2026</t>
  </si>
  <si>
    <t>Rasoir Jetable</t>
  </si>
  <si>
    <t>GILLETTE</t>
  </si>
  <si>
    <t>S-081</t>
  </si>
  <si>
    <t>25/11/2026</t>
  </si>
  <si>
    <t>Haricots Blancs</t>
  </si>
  <si>
    <t>S-082</t>
  </si>
  <si>
    <t>Vin Blanc</t>
  </si>
  <si>
    <t>5500</t>
  </si>
  <si>
    <t>S-083</t>
  </si>
  <si>
    <t>Dinde de Noël</t>
  </si>
  <si>
    <t>12500</t>
  </si>
  <si>
    <t>S-084</t>
  </si>
  <si>
    <t>Whisky 12 ans</t>
  </si>
  <si>
    <t>CHIVAS</t>
  </si>
  <si>
    <t>35000</t>
  </si>
  <si>
    <t>S-085</t>
  </si>
  <si>
    <t>Gel Douche</t>
  </si>
  <si>
    <t>LE PETIT MARSEILLAIS</t>
  </si>
  <si>
    <t>S-086</t>
  </si>
  <si>
    <t>Beurre de table</t>
  </si>
  <si>
    <t>S-087</t>
  </si>
  <si>
    <t>Lotion Tonique</t>
  </si>
  <si>
    <t>S-088</t>
  </si>
  <si>
    <t>18/01/2026</t>
  </si>
  <si>
    <t>Jus de Pomme</t>
  </si>
  <si>
    <t>1300</t>
  </si>
  <si>
    <t>S-089</t>
  </si>
  <si>
    <t>Nettoyant Multi</t>
  </si>
  <si>
    <t>S-090</t>
  </si>
  <si>
    <t>Fromage Portion</t>
  </si>
  <si>
    <t>LA VACHE QUI RIT</t>
  </si>
  <si>
    <t>S-091</t>
  </si>
  <si>
    <t>Bière Mützig</t>
  </si>
  <si>
    <t>36</t>
  </si>
  <si>
    <t>S-092</t>
  </si>
  <si>
    <t>15/02/2026</t>
  </si>
  <si>
    <t>Masque Visage</t>
  </si>
  <si>
    <t>GARNIER</t>
  </si>
  <si>
    <t>S-093</t>
  </si>
  <si>
    <t>22/02/2026</t>
  </si>
  <si>
    <t>Éponge Grattante</t>
  </si>
  <si>
    <t>SCOTCH-BRITE</t>
  </si>
  <si>
    <t>S-094</t>
  </si>
  <si>
    <t>02/03/2026</t>
  </si>
  <si>
    <t>Yaourt Nature</t>
  </si>
  <si>
    <t>CAMLAIT</t>
  </si>
  <si>
    <t>S-095</t>
  </si>
  <si>
    <t>10/03/2026</t>
  </si>
  <si>
    <t>Limonade 0.5L</t>
  </si>
  <si>
    <t>S-096</t>
  </si>
  <si>
    <t>18/03/2026</t>
  </si>
  <si>
    <t>Moutarde de Dijon</t>
  </si>
  <si>
    <t>AMORA</t>
  </si>
  <si>
    <t>S-097</t>
  </si>
  <si>
    <t>25/03/2026</t>
  </si>
  <si>
    <t>Déodorant Bille</t>
  </si>
  <si>
    <t>USHAÏA</t>
  </si>
  <si>
    <t>S-098</t>
  </si>
  <si>
    <t>Désinfectant Sol</t>
  </si>
  <si>
    <t>SANITERGENT</t>
  </si>
  <si>
    <t>S-099</t>
  </si>
  <si>
    <t>Sirop Menthe</t>
  </si>
  <si>
    <t>S-100</t>
  </si>
  <si>
    <t>Saucisson Sec</t>
  </si>
  <si>
    <t>BORDEAU CHESNEL</t>
  </si>
  <si>
    <t>S-101</t>
  </si>
  <si>
    <t>Crème de Jour</t>
  </si>
  <si>
    <t>L'OREAL</t>
  </si>
  <si>
    <t>9500</t>
  </si>
  <si>
    <t>S-102</t>
  </si>
  <si>
    <t>Eau de Source</t>
  </si>
  <si>
    <t>Vittel</t>
  </si>
  <si>
    <t>S-103</t>
  </si>
  <si>
    <t>Huile d'Olive</t>
  </si>
  <si>
    <t>PUGET</t>
  </si>
  <si>
    <t>S-104</t>
  </si>
  <si>
    <t>Lessive Liquide</t>
  </si>
  <si>
    <t>Le Chat</t>
  </si>
  <si>
    <t>7500</t>
  </si>
  <si>
    <t>S-105</t>
  </si>
  <si>
    <t>Canette Malta</t>
  </si>
  <si>
    <t>S-106</t>
  </si>
  <si>
    <t>Céréales Matin</t>
  </si>
  <si>
    <t>KELLOGG'S</t>
  </si>
  <si>
    <t>S-107</t>
  </si>
  <si>
    <t>Savon Liquide</t>
  </si>
  <si>
    <t>PALMOLIVE</t>
  </si>
  <si>
    <t>S-108</t>
  </si>
  <si>
    <t>12/06/2026</t>
  </si>
  <si>
    <t>Chiffon Microfibre</t>
  </si>
  <si>
    <t>S-109</t>
  </si>
  <si>
    <t>20/06/2026</t>
  </si>
  <si>
    <t>Jus Multi-fruits</t>
  </si>
  <si>
    <t>CERES</t>
  </si>
  <si>
    <t>S-110</t>
  </si>
  <si>
    <t>28/06/2026</t>
  </si>
  <si>
    <t>Confiture Fraise</t>
  </si>
  <si>
    <t>BONNE MAMAN</t>
  </si>
  <si>
    <t>S-111</t>
  </si>
  <si>
    <t>05/07/2026</t>
  </si>
  <si>
    <t>Coca Zero 0.5L</t>
  </si>
  <si>
    <t>S-112</t>
  </si>
  <si>
    <t>Thon à l'huile</t>
  </si>
  <si>
    <t>PETIT NAVIRE</t>
  </si>
  <si>
    <t>S-113</t>
  </si>
  <si>
    <t>Couches Bébé</t>
  </si>
  <si>
    <t>PAMPERS</t>
  </si>
  <si>
    <t>S-114</t>
  </si>
  <si>
    <t>Lingettes Multi</t>
  </si>
  <si>
    <t>ST MARC</t>
  </si>
  <si>
    <t>S-115</t>
  </si>
  <si>
    <t>Top Orange 1.5L</t>
  </si>
  <si>
    <t>S-116</t>
  </si>
  <si>
    <t>Pâtes à Lasagne</t>
  </si>
  <si>
    <t>BARILLA</t>
  </si>
  <si>
    <t>S-117</t>
  </si>
  <si>
    <t>Dentifrice Enfant</t>
  </si>
  <si>
    <t>SIGNAL</t>
  </si>
  <si>
    <t>S-118</t>
  </si>
  <si>
    <t>Bloc WC</t>
  </si>
  <si>
    <t>HARPIC</t>
  </si>
  <si>
    <t>S-119</t>
  </si>
  <si>
    <t>Jus de Raisin</t>
  </si>
  <si>
    <t>S-120</t>
  </si>
  <si>
    <t>22/09/2026</t>
  </si>
  <si>
    <t>Vinaigre Blanc</t>
  </si>
  <si>
    <t>MELFOR</t>
  </si>
  <si>
    <t>S-121</t>
  </si>
  <si>
    <t>Crème à raser</t>
  </si>
  <si>
    <t>S-122</t>
  </si>
  <si>
    <t>Grenadine 1L</t>
  </si>
  <si>
    <t>SIROP SPORT</t>
  </si>
  <si>
    <t>S-123</t>
  </si>
  <si>
    <t>Poivre Noir</t>
  </si>
  <si>
    <t>DUCROS</t>
  </si>
  <si>
    <t>S-124</t>
  </si>
  <si>
    <t>Liquide Sols</t>
  </si>
  <si>
    <t>MONSAVON</t>
  </si>
  <si>
    <t>S-125</t>
  </si>
  <si>
    <t>S-126</t>
  </si>
  <si>
    <t>12/11/2026</t>
  </si>
  <si>
    <t>Riz Long Grain</t>
  </si>
  <si>
    <t>CIGALE</t>
  </si>
  <si>
    <t>S-127</t>
  </si>
  <si>
    <t>20/11/2026</t>
  </si>
  <si>
    <t>Savon Antiseptique</t>
  </si>
  <si>
    <t>DETTOL</t>
  </si>
  <si>
    <t>S-128</t>
  </si>
  <si>
    <t>Sacs Congélation</t>
  </si>
  <si>
    <t>ALBAL</t>
  </si>
  <si>
    <t>S-129</t>
  </si>
  <si>
    <t>Vin Pétillant</t>
  </si>
  <si>
    <t>JP CHENET</t>
  </si>
  <si>
    <t>S-130</t>
  </si>
  <si>
    <t>12/12/2026</t>
  </si>
  <si>
    <t>Mayonnaise Pot</t>
  </si>
  <si>
    <t>LESIEUR</t>
  </si>
  <si>
    <t>2400</t>
  </si>
  <si>
    <t>S-131</t>
  </si>
  <si>
    <t>18/12/2026</t>
  </si>
  <si>
    <t>Bière 33 Export</t>
  </si>
  <si>
    <t>S-132</t>
  </si>
  <si>
    <t>22/12/2026</t>
  </si>
  <si>
    <t>Bouchées Chocolat</t>
  </si>
  <si>
    <t>FERRERO</t>
  </si>
  <si>
    <t>S-133</t>
  </si>
  <si>
    <t>Whisky Premium</t>
  </si>
  <si>
    <t>GLENFIDDICH</t>
  </si>
  <si>
    <t>S-134</t>
  </si>
  <si>
    <t>28/12/2026</t>
  </si>
  <si>
    <t>Essuie-tout Maxi</t>
  </si>
  <si>
    <t>S-135</t>
  </si>
  <si>
    <t>31/12/2026</t>
  </si>
  <si>
    <t>Champagne Brut</t>
  </si>
  <si>
    <t>LAURENT PERRIER</t>
  </si>
  <si>
    <t>S-136</t>
  </si>
  <si>
    <t>Thé Noir</t>
  </si>
  <si>
    <t>S-137</t>
  </si>
  <si>
    <t>S-138</t>
  </si>
  <si>
    <t>S-139</t>
  </si>
  <si>
    <t>S-140</t>
  </si>
  <si>
    <t>S-141</t>
  </si>
  <si>
    <t>60</t>
  </si>
  <si>
    <t>S-142</t>
  </si>
  <si>
    <t>S-143</t>
  </si>
  <si>
    <t>S-144</t>
  </si>
  <si>
    <t>S-145</t>
  </si>
  <si>
    <t>S-146</t>
  </si>
  <si>
    <t>S-147</t>
  </si>
  <si>
    <t>S-148</t>
  </si>
  <si>
    <t>Sacs Poubelle</t>
  </si>
  <si>
    <t>S-149</t>
  </si>
  <si>
    <t>S-150</t>
  </si>
  <si>
    <t>S-151</t>
  </si>
  <si>
    <t>Lotion Corps</t>
  </si>
  <si>
    <t>S-152</t>
  </si>
  <si>
    <t>S-153</t>
  </si>
  <si>
    <t>S-154</t>
  </si>
  <si>
    <t>S-155</t>
  </si>
  <si>
    <t>Mützig Canette</t>
  </si>
  <si>
    <t>S-156</t>
  </si>
  <si>
    <t>Chocolat Tartiner</t>
  </si>
  <si>
    <t>S-157</t>
  </si>
  <si>
    <t>S-158</t>
  </si>
  <si>
    <t>S-159</t>
  </si>
  <si>
    <t>S-160</t>
  </si>
  <si>
    <t>Beurre de Table</t>
  </si>
  <si>
    <t>S-161</t>
  </si>
  <si>
    <t>S-162</t>
  </si>
  <si>
    <t>25/07/2026</t>
  </si>
  <si>
    <t>S-163</t>
  </si>
  <si>
    <t>02/08/2026</t>
  </si>
  <si>
    <t>S-164</t>
  </si>
  <si>
    <t>Miel Naturel</t>
  </si>
  <si>
    <t>VITA</t>
  </si>
  <si>
    <t>S-165</t>
  </si>
  <si>
    <t>22/08/2026</t>
  </si>
  <si>
    <t>S-166</t>
  </si>
  <si>
    <t>05/09/2026</t>
  </si>
  <si>
    <t>S-167</t>
  </si>
  <si>
    <t>15/09/2026</t>
  </si>
  <si>
    <t>Lait de Toilette</t>
  </si>
  <si>
    <t>S-168</t>
  </si>
  <si>
    <t>S-169</t>
  </si>
  <si>
    <t>S-170</t>
  </si>
  <si>
    <t>Sucre en Poudre</t>
  </si>
  <si>
    <t>S-171</t>
  </si>
  <si>
    <t>S-172</t>
  </si>
  <si>
    <t>Jus de Fruits</t>
  </si>
  <si>
    <t>18</t>
  </si>
  <si>
    <t>S-173</t>
  </si>
  <si>
    <t>S-174</t>
  </si>
  <si>
    <t>22/11/2026</t>
  </si>
  <si>
    <t>Café Poudre</t>
  </si>
  <si>
    <t>S-175</t>
  </si>
  <si>
    <t>30/11/2026</t>
  </si>
  <si>
    <t>S-176</t>
  </si>
  <si>
    <t>S-177</t>
  </si>
  <si>
    <t>10/12/2026</t>
  </si>
  <si>
    <t>Foie Gras</t>
  </si>
  <si>
    <t>LABEYRIE</t>
  </si>
  <si>
    <t>15000</t>
  </si>
  <si>
    <t>S-178</t>
  </si>
  <si>
    <t>Vin de Table</t>
  </si>
  <si>
    <t>S-179</t>
  </si>
  <si>
    <t>Coffret Cadeau</t>
  </si>
  <si>
    <t>65000</t>
  </si>
  <si>
    <t>S-180</t>
  </si>
  <si>
    <t>S-181</t>
  </si>
  <si>
    <t>S-182</t>
  </si>
  <si>
    <t>S-183</t>
  </si>
  <si>
    <t>S-184</t>
  </si>
  <si>
    <t>S-185</t>
  </si>
  <si>
    <t>S-186</t>
  </si>
  <si>
    <t>Nettoyant Sol</t>
  </si>
  <si>
    <t>S-187</t>
  </si>
  <si>
    <t>Riz Parfumé</t>
  </si>
  <si>
    <t>NEÏMA</t>
  </si>
  <si>
    <t>S-188</t>
  </si>
  <si>
    <t>S-189</t>
  </si>
  <si>
    <t>S-190</t>
  </si>
  <si>
    <t>S-191</t>
  </si>
  <si>
    <t>S-192</t>
  </si>
  <si>
    <t>S-193</t>
  </si>
  <si>
    <t>S-194</t>
  </si>
  <si>
    <t>05/04/2026</t>
  </si>
  <si>
    <t>S-195</t>
  </si>
  <si>
    <t>S-196</t>
  </si>
  <si>
    <t>20/04/2026</t>
  </si>
  <si>
    <t>S-197</t>
  </si>
  <si>
    <t>28/04/2026</t>
  </si>
  <si>
    <t>S-198</t>
  </si>
  <si>
    <t>S-199</t>
  </si>
  <si>
    <t>S-200</t>
  </si>
  <si>
    <t>Eau Minérale</t>
  </si>
  <si>
    <t>S-201</t>
  </si>
  <si>
    <t>S-202</t>
  </si>
  <si>
    <t>S-203</t>
  </si>
  <si>
    <t>S-204</t>
  </si>
  <si>
    <t>S-205</t>
  </si>
  <si>
    <t>S-206</t>
  </si>
  <si>
    <t>S-207</t>
  </si>
  <si>
    <t>S-208</t>
  </si>
  <si>
    <t>S-209</t>
  </si>
  <si>
    <t>S-210</t>
  </si>
  <si>
    <t>S-211</t>
  </si>
  <si>
    <t>S-212</t>
  </si>
  <si>
    <t>S-213</t>
  </si>
  <si>
    <t>S-214</t>
  </si>
  <si>
    <t>S-215</t>
  </si>
  <si>
    <t>Soda 1.5L</t>
  </si>
  <si>
    <t>S-216</t>
  </si>
  <si>
    <t>S-217</t>
  </si>
  <si>
    <t>S-218</t>
  </si>
  <si>
    <t>S-219</t>
  </si>
  <si>
    <t>S-220</t>
  </si>
  <si>
    <t>S-221</t>
  </si>
  <si>
    <t>S-222</t>
  </si>
  <si>
    <t>S-223</t>
  </si>
  <si>
    <t>S-224</t>
  </si>
  <si>
    <t>S-225</t>
  </si>
  <si>
    <t>S-226</t>
  </si>
  <si>
    <t>S-227</t>
  </si>
  <si>
    <t>S-228</t>
  </si>
  <si>
    <t>S-229</t>
  </si>
  <si>
    <t>28/01/2026</t>
  </si>
  <si>
    <t>S-230</t>
  </si>
  <si>
    <t>05/02/2026</t>
  </si>
  <si>
    <t>S-231</t>
  </si>
  <si>
    <t>45</t>
  </si>
  <si>
    <t>S-232</t>
  </si>
  <si>
    <t>S-233</t>
  </si>
  <si>
    <t>S-234</t>
  </si>
  <si>
    <t>S-235</t>
  </si>
  <si>
    <t>S-236</t>
  </si>
  <si>
    <t>Top Orange</t>
  </si>
  <si>
    <t>S-237</t>
  </si>
  <si>
    <t>S-238</t>
  </si>
  <si>
    <t>S-239</t>
  </si>
  <si>
    <t>S-240</t>
  </si>
  <si>
    <t>10/05/2026</t>
  </si>
  <si>
    <t>S-241</t>
  </si>
  <si>
    <t>S-242</t>
  </si>
  <si>
    <t>30/05/2026</t>
  </si>
  <si>
    <t>S-243</t>
  </si>
  <si>
    <t>S-244</t>
  </si>
  <si>
    <t>S-245</t>
  </si>
  <si>
    <t>25/06/2026</t>
  </si>
  <si>
    <t>S-246</t>
  </si>
  <si>
    <t>S-247</t>
  </si>
  <si>
    <t>15/07/2026</t>
  </si>
  <si>
    <t>S-248</t>
  </si>
  <si>
    <t>S-249</t>
  </si>
  <si>
    <t>S-250</t>
  </si>
  <si>
    <t>15/08/2026</t>
  </si>
  <si>
    <t>S-251</t>
  </si>
  <si>
    <t>S-252</t>
  </si>
  <si>
    <t>S-253</t>
  </si>
  <si>
    <t>S-254</t>
  </si>
  <si>
    <t>25/09/2026</t>
  </si>
  <si>
    <t>S-255</t>
  </si>
  <si>
    <t>S-256</t>
  </si>
  <si>
    <t>15/10/2026</t>
  </si>
  <si>
    <t>S-257</t>
  </si>
  <si>
    <t>S-258</t>
  </si>
  <si>
    <t>05/11/2026</t>
  </si>
  <si>
    <t>S-259</t>
  </si>
  <si>
    <t>S-260</t>
  </si>
  <si>
    <t>S-261</t>
  </si>
  <si>
    <t>02/12/2026</t>
  </si>
  <si>
    <t>S-262</t>
  </si>
  <si>
    <t>08/12/2026</t>
  </si>
  <si>
    <t>S-263</t>
  </si>
  <si>
    <t>S-264</t>
  </si>
  <si>
    <t>S-265</t>
  </si>
  <si>
    <t>S-266</t>
  </si>
  <si>
    <t>S-267</t>
  </si>
  <si>
    <t>S-268</t>
  </si>
  <si>
    <t>02/01/2026</t>
  </si>
  <si>
    <t>S-269</t>
  </si>
  <si>
    <t>S-270</t>
  </si>
  <si>
    <t>VILLE2</t>
  </si>
  <si>
    <t>MARQUE2</t>
  </si>
  <si>
    <t>CA TOTAL</t>
  </si>
  <si>
    <t>MOIS</t>
  </si>
  <si>
    <t>Étiquettes de lignes</t>
  </si>
  <si>
    <t>January</t>
  </si>
  <si>
    <t>Total général</t>
  </si>
  <si>
    <t>Somme de CA TOTAL</t>
  </si>
  <si>
    <t>(vide)</t>
  </si>
  <si>
    <t>RAPPORT COMMERCIAL ANNUEL 2026</t>
  </si>
  <si>
    <t>Analyse des performances - SuperMarket</t>
  </si>
  <si>
    <t>SYNTHÈSE DES ANALYSES – SUPERMARKET 2026</t>
  </si>
  <si>
    <t>1. Scénario Douala</t>
  </si>
  <si>
    <t>Rayon qui domine les ventes :</t>
  </si>
  <si>
    <r>
      <t>Boissons</t>
    </r>
    <r>
      <rPr>
        <sz val="10"/>
        <color rgb="FFF9FAFB"/>
        <rFont val="Segoe UI"/>
        <family val="2"/>
      </rPr>
      <t> (car le montant total des ventes est le plus élevé dans ce rayon).</t>
    </r>
  </si>
  <si>
    <t>Marque leader :</t>
  </si>
  <si>
    <r>
      <t>LAURENT PERRIER</t>
    </r>
    <r>
      <rPr>
        <sz val="10"/>
        <color rgb="FFF9FAFB"/>
        <rFont val="Segoe UI"/>
        <family val="2"/>
      </rPr>
      <t> (car c’est la marque qui génère le plus gros chiffre d’affaires à Douala).</t>
    </r>
  </si>
  <si>
    <t>2. Scénario Saisonnalité (mois de décembre)</t>
  </si>
  <si>
    <t>Observation sur l’évolution du CA :</t>
  </si>
  <si>
    <r>
      <t>En décembre, le chiffre d’affaires est </t>
    </r>
    <r>
      <rPr>
        <sz val="10"/>
        <color rgb="FFF9FAFB"/>
        <rFont val="Segoe UI"/>
        <family val="2"/>
      </rPr>
      <t>beaucoup plus élevé</t>
    </r>
    <r>
      <rPr>
        <sz val="10"/>
        <color rgb="FFF9FAFB"/>
        <rFont val="Segoe UI"/>
        <family val="2"/>
      </rPr>
      <t> que les autres mois de l’année.</t>
    </r>
  </si>
  <si>
    <r>
      <t>Cela montre qu’il y a une </t>
    </r>
    <r>
      <rPr>
        <sz val="10"/>
        <color rgb="FFF9FAFB"/>
        <rFont val="Segoe UI"/>
        <family val="2"/>
      </rPr>
      <t>forte saisonnalité</t>
    </r>
    <r>
      <rPr>
        <sz val="10"/>
        <color rgb="FFF9FAFB"/>
        <rFont val="Segoe UI"/>
        <family val="2"/>
      </rPr>
      <t> des ventes, sûrement à cause des fêtes de fin d’année.</t>
    </r>
  </si>
  <si>
    <t>3. Scénario Garoua</t>
  </si>
  <si>
    <t>Dépendance à un rayon particulier :</t>
  </si>
  <si>
    <r>
      <t>Oui, à Garoua, le rayon </t>
    </r>
    <r>
      <rPr>
        <sz val="10"/>
        <color rgb="FFF9FAFB"/>
        <rFont val="Segoe UI"/>
        <family val="2"/>
      </rPr>
      <t>Boissons</t>
    </r>
    <r>
      <rPr>
        <sz val="10"/>
        <color rgb="FFF9FAFB"/>
        <rFont val="Segoe UI"/>
        <family val="2"/>
      </rPr>
      <t> représente la très grande majorité des ventes.</t>
    </r>
  </si>
  <si>
    <t>Les autres rayons (Alimentaire, Beauté, Entretien) sont très faibles.</t>
  </si>
  <si>
    <t>Action commerciale proposée :</t>
  </si>
  <si>
    <r>
      <t>Pour diversifier les ventes à Garoua, je propose de </t>
    </r>
    <r>
      <rPr>
        <sz val="10"/>
        <color rgb="FFF9FAFB"/>
        <rFont val="Segoe UI"/>
        <family val="2"/>
      </rPr>
      <t>lancer des promotions</t>
    </r>
    <r>
      <rPr>
        <sz val="10"/>
        <color rgb="FFF9FAFB"/>
        <rFont val="Segoe UI"/>
        <family val="2"/>
      </rPr>
      <t> sur les produits d’entretien et alimentaires, par exemple des réductions ou des lots découverte.</t>
    </r>
  </si>
  <si>
    <r>
      <t>On pourrait aussi </t>
    </r>
    <r>
      <rPr>
        <sz val="10"/>
        <color rgb="FFF9FAFB"/>
        <rFont val="Segoe UI"/>
        <family val="2"/>
      </rPr>
      <t>mettre en avant ces rayons en tête de gondole</t>
    </r>
    <r>
      <rPr>
        <sz val="10"/>
        <color rgb="FFF9FAFB"/>
        <rFont val="Segoe UI"/>
        <family val="2"/>
      </rPr>
      <t> en magasin.</t>
    </r>
  </si>
  <si>
    <t>c ncn ndcndqcnmmmmmmmmm</t>
  </si>
  <si>
    <t>1. Scénario Douala
Rayon qui domine les ventes :
Boissons (car le montant total des ventes est le plus élevé dans ce rayon).
Marque leader :
LAURENT PERRIER (car c’est la marque qui génère le plus gros chiffre d’affaires à Douala).
2. Scénario Saisonnalité (mois de décembre)
Observation sur l’évolution du CA :
En décembre, le chiffre d’affaires est beaucoup plus élevé que les autres mois de l’année.
Cela montre qu’il y a une forte saisonnalité des ventes, sûrement à cause des fêtes de fin d’année.
3. Scénario Garoua
Dépendance à un rayon particulier :
Oui, à Garoua, le rayon Boissons représente la très grande majorité des ventes.
Les autres rayons (Alimentaire, Beauté, Entretien) sont très faibles.
Action commerciale proposée :
Pour diversifier les ventes à Garoua, je propose de lancer des promotions sur les produits d’entretien et alimentaires, par exemple des réductions ou des lots découverte  On pourrait aussi mettre en avant ces rayons en tête de gondole en magasin.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</si>
</sst>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43" formatCode="_(* #,##0.00_);_(* \(#,##0.00\);_(* &quot;-&quot;??_);_(@_)"/>
    <numFmt numFmtId="165" formatCode="&quot;$&quot;#,##0.00"/>
    <numFmt numFmtId="166" formatCode="&quot;$&quot;#,##0.000"/>
  </numFmts>
  <fonts count="11" x14ac:knownFonts="1">
    <font>
      <sz val="11"/>
      <color theme="1"/>
      <name val="Calibri"/>
      <family val="2"/>
      <scheme val="minor"/>
    </font>
    <font>
      <sz val="11"/>
      <color theme="1"/>
      <name val="Calibri"/>
      <family val="2"/>
      <scheme val="minor"/>
    </font>
    <font>
      <sz val="8"/>
      <name val="Calibri"/>
      <family val="2"/>
      <scheme val="minor"/>
    </font>
    <font>
      <b/>
      <sz val="24"/>
      <color rgb="FF0070C0"/>
      <name val="Calibri"/>
      <family val="2"/>
      <scheme val="minor"/>
    </font>
    <font>
      <sz val="18"/>
      <color theme="8"/>
      <name val="Calibri"/>
      <family val="2"/>
      <scheme val="minor"/>
    </font>
    <font>
      <b/>
      <sz val="13"/>
      <color rgb="FFF9FAFB"/>
      <name val="Segoe UI"/>
      <family val="2"/>
    </font>
    <font>
      <b/>
      <sz val="12"/>
      <color rgb="FFF9FAFB"/>
      <name val="Segoe UI"/>
      <family val="2"/>
    </font>
    <font>
      <sz val="10"/>
      <color rgb="FFF9FAFB"/>
      <name val="Segoe UI"/>
      <family val="2"/>
    </font>
    <font>
      <sz val="10"/>
      <color rgb="FFF9FAFB"/>
      <name val="Segoe UI"/>
      <family val="2"/>
    </font>
    <font>
      <i/>
      <sz val="10"/>
      <color rgb="FFF9FAFB"/>
      <name val="Segoe UI"/>
      <family val="2"/>
    </font>
    <font>
      <b/>
      <sz val="20"/>
      <color theme="1"/>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44" fontId="1" fillId="0" borderId="0" applyFont="0" applyFill="0" applyBorder="0" applyAlignment="0" applyProtection="0"/>
    <xf numFmtId="43" fontId="1" fillId="0" borderId="0" applyFont="0" applyFill="0" applyBorder="0" applyAlignment="0" applyProtection="0"/>
  </cellStyleXfs>
  <cellXfs count="18">
    <xf numFmtId="0" fontId="0" fillId="0" borderId="0" xfId="0"/>
    <xf numFmtId="165" fontId="0" fillId="0" borderId="0" xfId="1" applyNumberFormat="1" applyFont="1"/>
    <xf numFmtId="166" fontId="0" fillId="0" borderId="0" xfId="1" applyNumberFormat="1" applyFont="1"/>
    <xf numFmtId="14" fontId="0" fillId="0" borderId="0" xfId="0" applyNumberFormat="1"/>
    <xf numFmtId="0" fontId="0" fillId="0" borderId="0" xfId="0" applyNumberFormat="1"/>
    <xf numFmtId="43" fontId="0" fillId="0" borderId="0" xfId="2" applyFont="1"/>
    <xf numFmtId="0" fontId="0" fillId="0" borderId="0" xfId="0" pivotButton="1"/>
    <xf numFmtId="0" fontId="0" fillId="0" borderId="0" xfId="0" applyAlignment="1">
      <alignment horizontal="left"/>
    </xf>
    <xf numFmtId="43" fontId="0" fillId="0" borderId="0" xfId="0" applyNumberFormat="1"/>
    <xf numFmtId="0" fontId="0" fillId="0" borderId="0" xfId="0" applyAlignment="1">
      <alignment horizontal="left" indent="1"/>
    </xf>
    <xf numFmtId="0" fontId="3" fillId="0" borderId="0" xfId="0" applyFont="1"/>
    <xf numFmtId="0" fontId="4" fillId="0" borderId="0" xfId="0" applyFont="1"/>
    <xf numFmtId="0" fontId="5" fillId="0" borderId="0" xfId="0" applyFont="1" applyAlignment="1">
      <alignment vertical="center" wrapText="1"/>
    </xf>
    <xf numFmtId="0" fontId="6" fillId="0" borderId="0" xfId="0" applyFont="1" applyAlignment="1">
      <alignment vertical="center" wrapText="1"/>
    </xf>
    <xf numFmtId="0" fontId="8" fillId="0" borderId="0" xfId="0" applyFont="1" applyAlignment="1">
      <alignment horizontal="left" vertical="center" wrapText="1" indent="1"/>
    </xf>
    <xf numFmtId="0" fontId="9" fillId="0" borderId="0" xfId="0" applyFont="1" applyAlignment="1">
      <alignment horizontal="left" vertical="center" wrapText="1" indent="1"/>
    </xf>
    <xf numFmtId="0" fontId="7" fillId="0" borderId="0" xfId="0" applyFont="1" applyAlignment="1">
      <alignment horizontal="left" vertical="center" wrapText="1" indent="1"/>
    </xf>
    <xf numFmtId="0" fontId="10" fillId="0" borderId="0" xfId="0" applyFont="1" applyAlignment="1">
      <alignment wrapText="1"/>
    </xf>
  </cellXfs>
  <cellStyles count="3">
    <cellStyle name="Milliers" xfId="2" builtinId="3"/>
    <cellStyle name="Monétaire" xfId="1" builtinId="4"/>
    <cellStyle name="Normal" xfId="0" builtinId="0"/>
  </cellStyles>
  <dxfs count="11">
    <dxf>
      <numFmt numFmtId="0" formatCode="General"/>
    </dxf>
    <dxf>
      <numFmt numFmtId="0" formatCode="General"/>
    </dxf>
    <dxf>
      <numFmt numFmtId="0" formatCode="General"/>
    </dxf>
    <dxf>
      <numFmt numFmtId="165" formatCode="&quot;$&quot;#,##0.00"/>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4.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connections" Target="connections.xml"/><Relationship Id="rId5" Type="http://schemas.openxmlformats.org/officeDocument/2006/relationships/pivotCacheDefinition" Target="pivotCache/pivotCacheDefinition2.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2.xml"/><Relationship Id="rId14"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[SuperMarket.xlsx]Calculs_TCD!Tableau croisé dynamique2</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Calculs_TCD!$B$3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Calculs_TCD!$A$4:$A$5</c:f>
              <c:strCache>
                <c:ptCount val="1"/>
                <c:pt idx="0">
                  <c:v>January</c:v>
                </c:pt>
              </c:strCache>
            </c:strRef>
          </c:cat>
          <c:val>
            <c:numRef>
              <c:f>Calculs_TCD!$B$4:$B$5</c:f>
              <c:numCache>
                <c:formatCode>_(* #,##0.00_);_(* \(#,##0.00\);_(* "-"??_);_(@_)</c:formatCode>
                <c:ptCount val="1"/>
                <c:pt idx="0">
                  <c:v>484900</c:v>
                </c:pt>
              </c:numCache>
            </c:numRef>
          </c:val>
          <c:smooth val="0"/>
          <c:extLst>
            <c:ext xmlns:c16="http://schemas.microsoft.com/office/drawing/2014/chart" uri="{C3380CC4-5D6E-409C-BE32-E72D297353CC}">
              <c16:uniqueId val="{00000000-5404-420D-B325-717E247BB591}"/>
            </c:ext>
          </c:extLst>
        </c:ser>
        <c:dLbls>
          <c:showLegendKey val="0"/>
          <c:showVal val="0"/>
          <c:showCatName val="0"/>
          <c:showSerName val="0"/>
          <c:showPercent val="0"/>
          <c:showBubbleSize val="0"/>
        </c:dLbls>
        <c:marker val="1"/>
        <c:smooth val="0"/>
        <c:axId val="1052148096"/>
        <c:axId val="1052146656"/>
      </c:lineChart>
      <c:catAx>
        <c:axId val="1052148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052146656"/>
        <c:crosses val="autoZero"/>
        <c:auto val="1"/>
        <c:lblAlgn val="ctr"/>
        <c:lblOffset val="100"/>
        <c:noMultiLvlLbl val="0"/>
      </c:catAx>
      <c:valAx>
        <c:axId val="1052146656"/>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052148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[SuperMarket.xlsx]Calculs_TCD!Tableau croisé dynamique3</c:name>
    <c:fmtId val="1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fr-FR"/>
            </a:p>
          </c:txPr>
          <c:dLblPos val="bestFit"/>
          <c:showLegendKey val="1"/>
          <c:showVal val="1"/>
          <c:showCatName val="0"/>
          <c:showSerName val="0"/>
          <c:showPercent val="1"/>
          <c:showBubbleSize val="0"/>
          <c:extLst>
            <c:ext xmlns:c15="http://schemas.microsoft.com/office/drawing/2012/chart" uri="{CE6537A1-D6FC-4f65-9D91-7224C49458BB}"/>
          </c:extLst>
        </c:dLbl>
      </c:pivotFmt>
      <c:pivotFmt>
        <c:idx val="1"/>
        <c:spPr>
          <a:solidFill>
            <a:schemeClr val="accent4"/>
          </a:solidFill>
          <a:ln w="19050">
            <a:solidFill>
              <a:schemeClr val="lt1"/>
            </a:solidFill>
          </a:ln>
          <a:effectLst/>
        </c:spPr>
        <c:dLbl>
          <c:idx val="0"/>
          <c:layout>
            <c:manualLayout>
              <c:x val="9.5844706911636046E-2"/>
              <c:y val="0.13052019539224263"/>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fr-FR"/>
            </a:p>
          </c:txPr>
          <c:dLblPos val="bestFit"/>
          <c:showLegendKey val="1"/>
          <c:showVal val="1"/>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fr-FR"/>
            </a:p>
          </c:txPr>
          <c:dLblPos val="bestFit"/>
          <c:showLegendKey val="1"/>
          <c:showVal val="1"/>
          <c:showCatName val="0"/>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dLbl>
          <c:idx val="0"/>
          <c:layout>
            <c:manualLayout>
              <c:x val="9.5844706911636046E-2"/>
              <c:y val="0.13052019539224263"/>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fr-FR"/>
            </a:p>
          </c:txPr>
          <c:dLblPos val="bestFit"/>
          <c:showLegendKey val="1"/>
          <c:showVal val="1"/>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fr-FR"/>
            </a:p>
          </c:txPr>
          <c:dLblPos val="bestFit"/>
          <c:showLegendKey val="1"/>
          <c:showVal val="1"/>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dLbl>
          <c:idx val="0"/>
          <c:layout>
            <c:manualLayout>
              <c:x val="9.5844706911636046E-2"/>
              <c:y val="0.13052019539224263"/>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fr-FR"/>
            </a:p>
          </c:txPr>
          <c:dLblPos val="bestFit"/>
          <c:showLegendKey val="1"/>
          <c:showVal val="1"/>
          <c:showCatName val="0"/>
          <c:showSerName val="0"/>
          <c:showPercent val="1"/>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s>
    <c:plotArea>
      <c:layout/>
      <c:pieChart>
        <c:varyColors val="1"/>
        <c:ser>
          <c:idx val="0"/>
          <c:order val="0"/>
          <c:tx>
            <c:strRef>
              <c:f>Calculs_TCD!$G$3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C04-4493-9171-CD1C18B3DBD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C04-4493-9171-CD1C18B3DBD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C04-4493-9171-CD1C18B3DBD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C04-4493-9171-CD1C18B3DBD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C04-4493-9171-CD1C18B3DBD1}"/>
              </c:ext>
            </c:extLst>
          </c:dPt>
          <c:dLbls>
            <c:dLbl>
              <c:idx val="3"/>
              <c:layout>
                <c:manualLayout>
                  <c:x val="9.5844706911636046E-2"/>
                  <c:y val="0.13052019539224263"/>
                </c:manualLayout>
              </c:layout>
              <c:dLblPos val="bestFit"/>
              <c:showLegendKey val="1"/>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AC04-4493-9171-CD1C18B3DBD1}"/>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fr-FR"/>
              </a:p>
            </c:txPr>
            <c:dLblPos val="bestFit"/>
            <c:showLegendKey val="1"/>
            <c:showVal val="1"/>
            <c:showCatName val="0"/>
            <c:showSerName val="0"/>
            <c:showPercent val="1"/>
            <c:showBubbleSize val="0"/>
            <c:showLeaderLines val="0"/>
            <c:extLst>
              <c:ext xmlns:c15="http://schemas.microsoft.com/office/drawing/2012/chart" uri="{CE6537A1-D6FC-4f65-9D91-7224C49458BB}"/>
            </c:extLst>
          </c:dLbls>
          <c:cat>
            <c:strRef>
              <c:f>Calculs_TCD!$F$4:$F$9</c:f>
              <c:strCache>
                <c:ptCount val="5"/>
                <c:pt idx="0">
                  <c:v>Alimentaire</c:v>
                </c:pt>
                <c:pt idx="1">
                  <c:v>Beauté</c:v>
                </c:pt>
                <c:pt idx="2">
                  <c:v>Boissons</c:v>
                </c:pt>
                <c:pt idx="3">
                  <c:v>Entretien</c:v>
                </c:pt>
                <c:pt idx="4">
                  <c:v>(vide)</c:v>
                </c:pt>
              </c:strCache>
            </c:strRef>
          </c:cat>
          <c:val>
            <c:numRef>
              <c:f>Calculs_TCD!$G$4:$G$9</c:f>
              <c:numCache>
                <c:formatCode>General</c:formatCode>
                <c:ptCount val="5"/>
                <c:pt idx="0">
                  <c:v>1735800</c:v>
                </c:pt>
                <c:pt idx="1">
                  <c:v>1191700</c:v>
                </c:pt>
                <c:pt idx="2">
                  <c:v>1849700</c:v>
                </c:pt>
                <c:pt idx="3">
                  <c:v>781250</c:v>
                </c:pt>
              </c:numCache>
            </c:numRef>
          </c:val>
          <c:extLst>
            <c:ext xmlns:c16="http://schemas.microsoft.com/office/drawing/2014/chart" uri="{C3380CC4-5D6E-409C-BE32-E72D297353CC}">
              <c16:uniqueId val="{0000000A-AC04-4493-9171-CD1C18B3DBD1}"/>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[SuperMarket.xlsx]Calculs_TCD!Tableau croisé dynamique6</c:name>
    <c:fmtId val="3"/>
  </c:pivotSource>
  <c:chart>
    <c:autoTitleDeleted val="0"/>
    <c:plotArea>
      <c:layout/>
      <c:barChart>
        <c:barDir val="bar"/>
        <c:grouping val="clustered"/>
        <c:varyColors val="0"/>
        <c:dLbls>
          <c:showLegendKey val="0"/>
          <c:showVal val="0"/>
          <c:showCatName val="0"/>
          <c:showSerName val="0"/>
          <c:showPercent val="0"/>
          <c:showBubbleSize val="0"/>
        </c:dLbls>
        <c:gapWidth val="182"/>
        <c:axId val="1987616160"/>
        <c:axId val="1987618560"/>
      </c:barChart>
      <c:catAx>
        <c:axId val="1987616160"/>
        <c:scaling>
          <c:orientation val="minMax"/>
        </c:scaling>
        <c:delete val="0"/>
        <c:axPos val="l"/>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987618560"/>
        <c:crosses val="autoZero"/>
        <c:auto val="1"/>
        <c:lblAlgn val="ctr"/>
        <c:lblOffset val="100"/>
        <c:noMultiLvlLbl val="0"/>
      </c:catAx>
      <c:valAx>
        <c:axId val="1987618560"/>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987616160"/>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extLst/>
  </c:chart>
  <c:spPr>
    <a:solidFill>
      <a:schemeClr val="bg1"/>
    </a:solid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[SuperMarket.xlsx]Calculs_TCD!Tableau croisé dynamique7</c:name>
    <c:fmtId val="1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Calculs_TCD!$L$3</c:f>
              <c:strCache>
                <c:ptCount val="1"/>
                <c:pt idx="0">
                  <c:v>Total</c:v>
                </c:pt>
              </c:strCache>
            </c:strRef>
          </c:tx>
          <c:spPr>
            <a:solidFill>
              <a:schemeClr val="accent1"/>
            </a:solidFill>
            <a:ln>
              <a:noFill/>
            </a:ln>
            <a:effectLst/>
          </c:spPr>
          <c:invertIfNegative val="0"/>
          <c:cat>
            <c:strRef>
              <c:f>Calculs_TCD!$K$4:$K$9</c:f>
              <c:strCache>
                <c:ptCount val="5"/>
                <c:pt idx="0">
                  <c:v>BVC</c:v>
                </c:pt>
                <c:pt idx="1">
                  <c:v>CIGALE</c:v>
                </c:pt>
                <c:pt idx="2">
                  <c:v>DIOR</c:v>
                </c:pt>
                <c:pt idx="3">
                  <c:v>LAURENT PERRIER</c:v>
                </c:pt>
                <c:pt idx="4">
                  <c:v>SABC</c:v>
                </c:pt>
              </c:strCache>
            </c:strRef>
          </c:cat>
          <c:val>
            <c:numRef>
              <c:f>Calculs_TCD!$L$4:$L$9</c:f>
              <c:numCache>
                <c:formatCode>General</c:formatCode>
                <c:ptCount val="5"/>
                <c:pt idx="0">
                  <c:v>154500</c:v>
                </c:pt>
                <c:pt idx="1">
                  <c:v>175000</c:v>
                </c:pt>
                <c:pt idx="2">
                  <c:v>175000</c:v>
                </c:pt>
                <c:pt idx="3">
                  <c:v>220000</c:v>
                </c:pt>
                <c:pt idx="4">
                  <c:v>385100</c:v>
                </c:pt>
              </c:numCache>
            </c:numRef>
          </c:val>
          <c:extLst>
            <c:ext xmlns:c16="http://schemas.microsoft.com/office/drawing/2014/chart" uri="{C3380CC4-5D6E-409C-BE32-E72D297353CC}">
              <c16:uniqueId val="{00000000-01BE-41D4-B1AC-33895D3552CC}"/>
            </c:ext>
          </c:extLst>
        </c:ser>
        <c:dLbls>
          <c:showLegendKey val="0"/>
          <c:showVal val="0"/>
          <c:showCatName val="0"/>
          <c:showSerName val="0"/>
          <c:showPercent val="0"/>
          <c:showBubbleSize val="0"/>
        </c:dLbls>
        <c:gapWidth val="219"/>
        <c:overlap val="-27"/>
        <c:axId val="1332999536"/>
        <c:axId val="1333000976"/>
      </c:barChart>
      <c:catAx>
        <c:axId val="1332999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333000976"/>
        <c:crosses val="autoZero"/>
        <c:auto val="1"/>
        <c:lblAlgn val="ctr"/>
        <c:lblOffset val="100"/>
        <c:noMultiLvlLbl val="0"/>
      </c:catAx>
      <c:valAx>
        <c:axId val="13330009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3329995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417022</xdr:colOff>
      <xdr:row>26</xdr:row>
      <xdr:rowOff>43642</xdr:rowOff>
    </xdr:from>
    <xdr:to>
      <xdr:col>6</xdr:col>
      <xdr:colOff>234142</xdr:colOff>
      <xdr:row>41</xdr:row>
      <xdr:rowOff>43641</xdr:rowOff>
    </xdr:to>
    <xdr:graphicFrame macro="">
      <xdr:nvGraphicFramePr>
        <xdr:cNvPr id="2" name="Graphique 1">
          <a:extLst>
            <a:ext uri="{FF2B5EF4-FFF2-40B4-BE49-F238E27FC236}">
              <a16:creationId xmlns:a16="http://schemas.microsoft.com/office/drawing/2014/main" id="{3AED261C-B5CC-4F6B-A4EE-EC02B254C3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440376</xdr:colOff>
      <xdr:row>26</xdr:row>
      <xdr:rowOff>105888</xdr:rowOff>
    </xdr:from>
    <xdr:to>
      <xdr:col>13</xdr:col>
      <xdr:colOff>244433</xdr:colOff>
      <xdr:row>41</xdr:row>
      <xdr:rowOff>73230</xdr:rowOff>
    </xdr:to>
    <xdr:graphicFrame macro="">
      <xdr:nvGraphicFramePr>
        <xdr:cNvPr id="3" name="Graphique 2">
          <a:extLst>
            <a:ext uri="{FF2B5EF4-FFF2-40B4-BE49-F238E27FC236}">
              <a16:creationId xmlns:a16="http://schemas.microsoft.com/office/drawing/2014/main" id="{6C6FB619-AA6C-4057-B3B6-ADE860C903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858982</xdr:colOff>
      <xdr:row>27</xdr:row>
      <xdr:rowOff>138545</xdr:rowOff>
    </xdr:from>
    <xdr:to>
      <xdr:col>16</xdr:col>
      <xdr:colOff>4836275</xdr:colOff>
      <xdr:row>41</xdr:row>
      <xdr:rowOff>86591</xdr:rowOff>
    </xdr:to>
    <xdr:graphicFrame macro="">
      <xdr:nvGraphicFramePr>
        <xdr:cNvPr id="4" name="Graphique 3">
          <a:extLst>
            <a:ext uri="{FF2B5EF4-FFF2-40B4-BE49-F238E27FC236}">
              <a16:creationId xmlns:a16="http://schemas.microsoft.com/office/drawing/2014/main" id="{6F8A93F1-4394-43C9-A3DC-5147AA37E8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351558</xdr:colOff>
      <xdr:row>28</xdr:row>
      <xdr:rowOff>5195</xdr:rowOff>
    </xdr:from>
    <xdr:to>
      <xdr:col>23</xdr:col>
      <xdr:colOff>133349</xdr:colOff>
      <xdr:row>42</xdr:row>
      <xdr:rowOff>84167</xdr:rowOff>
    </xdr:to>
    <xdr:graphicFrame macro="">
      <xdr:nvGraphicFramePr>
        <xdr:cNvPr id="5" name="Graphique 4">
          <a:extLst>
            <a:ext uri="{FF2B5EF4-FFF2-40B4-BE49-F238E27FC236}">
              <a16:creationId xmlns:a16="http://schemas.microsoft.com/office/drawing/2014/main" id="{58A4BC07-EB41-4341-89FD-3D03F659EF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312420</xdr:colOff>
      <xdr:row>5</xdr:row>
      <xdr:rowOff>9698</xdr:rowOff>
    </xdr:from>
    <xdr:to>
      <xdr:col>3</xdr:col>
      <xdr:colOff>561802</xdr:colOff>
      <xdr:row>18</xdr:row>
      <xdr:rowOff>135255</xdr:rowOff>
    </xdr:to>
    <mc:AlternateContent xmlns:mc="http://schemas.openxmlformats.org/markup-compatibility/2006">
      <mc:Choice xmlns:a14="http://schemas.microsoft.com/office/drawing/2010/main" Requires="a14">
        <xdr:graphicFrame macro="">
          <xdr:nvGraphicFramePr>
            <xdr:cNvPr id="7" name="Ville">
              <a:extLst>
                <a:ext uri="{FF2B5EF4-FFF2-40B4-BE49-F238E27FC236}">
                  <a16:creationId xmlns:a16="http://schemas.microsoft.com/office/drawing/2014/main" id="{1C626747-D303-8B81-6605-100EBD4B31D1}"/>
                </a:ext>
              </a:extLst>
            </xdr:cNvPr>
            <xdr:cNvGraphicFramePr/>
          </xdr:nvGraphicFramePr>
          <xdr:xfrm>
            <a:off x="0" y="0"/>
            <a:ext cx="0" cy="0"/>
          </xdr:xfrm>
          <a:graphic>
            <a:graphicData uri="http://schemas.microsoft.com/office/drawing/2010/slicer">
              <sle:slicer xmlns:sle="http://schemas.microsoft.com/office/drawing/2010/slicer" name="Ville"/>
            </a:graphicData>
          </a:graphic>
        </xdr:graphicFrame>
      </mc:Choice>
      <mc:Fallback>
        <xdr:sp macro="" textlink="">
          <xdr:nvSpPr>
            <xdr:cNvPr id="0" name=""/>
            <xdr:cNvSpPr>
              <a:spLocks noTextEdit="1"/>
            </xdr:cNvSpPr>
          </xdr:nvSpPr>
          <xdr:spPr>
            <a:xfrm>
              <a:off x="1107077" y="1250669"/>
              <a:ext cx="1838696" cy="2531300"/>
            </a:xfrm>
            <a:prstGeom prst="rect">
              <a:avLst/>
            </a:prstGeom>
            <a:solidFill>
              <a:prstClr val="white"/>
            </a:solidFill>
            <a:ln w="1">
              <a:solidFill>
                <a:prstClr val="green"/>
              </a:solidFill>
            </a:ln>
          </xdr:spPr>
          <xdr:txBody>
            <a:bodyPr vertOverflow="clip" horzOverflow="clip"/>
            <a:lstStyle/>
            <a:p>
              <a:r>
                <a:rPr lang="fr-CM" sz="1100"/>
                <a:t>Cette forme représente un segment. Les segments sont pris en charge dans Excel 2010 ou version ultérieure.
En revanche, si la forme a été modifiée dans une version précédente d’Excel, ou si le classeur a été enregistré dans Excel 2003 ou une version précédente, vous ne pouvez pas utiliser le segment.</a:t>
              </a:r>
            </a:p>
          </xdr:txBody>
        </xdr:sp>
      </mc:Fallback>
    </mc:AlternateContent>
    <xdr:clientData/>
  </xdr:twoCellAnchor>
  <xdr:twoCellAnchor editAs="oneCell">
    <xdr:from>
      <xdr:col>8</xdr:col>
      <xdr:colOff>55417</xdr:colOff>
      <xdr:row>5</xdr:row>
      <xdr:rowOff>135774</xdr:rowOff>
    </xdr:from>
    <xdr:to>
      <xdr:col>10</xdr:col>
      <xdr:colOff>304799</xdr:colOff>
      <xdr:row>19</xdr:row>
      <xdr:rowOff>81222</xdr:rowOff>
    </xdr:to>
    <mc:AlternateContent xmlns:mc="http://schemas.openxmlformats.org/markup-compatibility/2006">
      <mc:Choice xmlns:a14="http://schemas.microsoft.com/office/drawing/2010/main" Requires="a14">
        <xdr:graphicFrame macro="">
          <xdr:nvGraphicFramePr>
            <xdr:cNvPr id="8" name="MOIS">
              <a:extLst>
                <a:ext uri="{FF2B5EF4-FFF2-40B4-BE49-F238E27FC236}">
                  <a16:creationId xmlns:a16="http://schemas.microsoft.com/office/drawing/2014/main" id="{2C02550C-E164-370C-3E5A-3DE9C294769E}"/>
                </a:ext>
              </a:extLst>
            </xdr:cNvPr>
            <xdr:cNvGraphicFramePr/>
          </xdr:nvGraphicFramePr>
          <xdr:xfrm>
            <a:off x="0" y="0"/>
            <a:ext cx="0" cy="0"/>
          </xdr:xfrm>
          <a:graphic>
            <a:graphicData uri="http://schemas.microsoft.com/office/drawing/2010/slicer">
              <sle:slicer xmlns:sle="http://schemas.microsoft.com/office/drawing/2010/slicer" name="MOIS"/>
            </a:graphicData>
          </a:graphic>
        </xdr:graphicFrame>
      </mc:Choice>
      <mc:Fallback>
        <xdr:sp macro="" textlink="">
          <xdr:nvSpPr>
            <xdr:cNvPr id="0" name=""/>
            <xdr:cNvSpPr>
              <a:spLocks noTextEdit="1"/>
            </xdr:cNvSpPr>
          </xdr:nvSpPr>
          <xdr:spPr>
            <a:xfrm>
              <a:off x="6412674" y="1376745"/>
              <a:ext cx="1838696" cy="2536248"/>
            </a:xfrm>
            <a:prstGeom prst="rect">
              <a:avLst/>
            </a:prstGeom>
            <a:solidFill>
              <a:prstClr val="white"/>
            </a:solidFill>
            <a:ln w="1">
              <a:solidFill>
                <a:prstClr val="green"/>
              </a:solidFill>
            </a:ln>
          </xdr:spPr>
          <xdr:txBody>
            <a:bodyPr vertOverflow="clip" horzOverflow="clip"/>
            <a:lstStyle/>
            <a:p>
              <a:r>
                <a:rPr lang="fr-CM" sz="1100"/>
                <a:t>Cette forme représente un segment. Les segments sont pris en charge dans Excel 2010 ou version ultérieure.
En revanche, si la forme a été modifiée dans une version précédente d’Excel, ou si le classeur a été enregistré dans Excel 2003 ou une version précédente, vous ne pouvez pas utiliser le segment.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34.881226851852" createdVersion="8" refreshedVersion="8" minRefreshableVersion="3" recordCount="270" xr:uid="{109F8158-9E6B-44F8-89DA-284B4F02CC1F}">
  <cacheSource type="worksheet">
    <worksheetSource name="SuperMarket[[Marque]:[MOIS]]"/>
  </cacheSource>
  <cacheFields count="8">
    <cacheField name="Marque" numFmtId="0">
      <sharedItems/>
    </cacheField>
    <cacheField name="Ville" numFmtId="0">
      <sharedItems/>
    </cacheField>
    <cacheField name="Qté" numFmtId="0">
      <sharedItems/>
    </cacheField>
    <cacheField name="Prix_Unit" numFmtId="165">
      <sharedItems containsMixedTypes="1" containsNumber="1" containsInteger="1" minValue="3500" maxValue="3500"/>
    </cacheField>
    <cacheField name="VILLE2" numFmtId="0">
      <sharedItems/>
    </cacheField>
    <cacheField name="MARQUE2" numFmtId="0">
      <sharedItems/>
    </cacheField>
    <cacheField name="CA TOTAL" numFmtId="43">
      <sharedItems containsSemiMixedTypes="0" containsString="0" containsNumber="1" containsInteger="1" minValue="2500" maxValue="110000"/>
    </cacheField>
    <cacheField name="MOIS" numFmtId="0">
      <sharedItems count="12">
        <s v="January"/>
        <s v="February"/>
        <s v="March"/>
        <s v="April"/>
        <s v="May"/>
        <s v="June"/>
        <s v="July"/>
        <s v="August"/>
        <s v="September"/>
        <s v="October"/>
        <s v="November"/>
        <s v="December"/>
      </sharedItems>
    </cacheField>
  </cacheFields>
  <extLst>
    <ext xmlns:x14="http://schemas.microsoft.com/office/spreadsheetml/2009/9/main" uri="{725AE2AE-9491-48be-B2B4-4EB974FC3084}">
      <x14:pivotCacheDefinition pivotCacheId="139686557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34.898230208331" createdVersion="8" refreshedVersion="8" minRefreshableVersion="3" recordCount="273" xr:uid="{D65D8192-32CF-4DA2-9B8E-D37154DFB53D}">
  <cacheSource type="worksheet">
    <worksheetSource ref="A1:L1048576" sheet="SuperMarket"/>
  </cacheSource>
  <cacheFields count="12">
    <cacheField name="ID_Vente" numFmtId="0">
      <sharedItems containsBlank="1"/>
    </cacheField>
    <cacheField name="Date" numFmtId="0">
      <sharedItems containsBlank="1"/>
    </cacheField>
    <cacheField name="Rayon" numFmtId="0">
      <sharedItems containsBlank="1" count="5">
        <s v="Alimentaire"/>
        <s v="Entretien"/>
        <s v="Boissons"/>
        <s v="Beauté"/>
        <m/>
      </sharedItems>
    </cacheField>
    <cacheField name="Produit" numFmtId="0">
      <sharedItems containsBlank="1"/>
    </cacheField>
    <cacheField name="Marque" numFmtId="0">
      <sharedItems containsBlank="1"/>
    </cacheField>
    <cacheField name="Ville" numFmtId="0">
      <sharedItems containsBlank="1"/>
    </cacheField>
    <cacheField name="Qté" numFmtId="0">
      <sharedItems containsBlank="1"/>
    </cacheField>
    <cacheField name="Prix_Unit" numFmtId="0">
      <sharedItems containsBlank="1" containsMixedTypes="1" containsNumber="1" containsInteger="1" minValue="3500" maxValue="3500"/>
    </cacheField>
    <cacheField name="VILLE2" numFmtId="0">
      <sharedItems containsBlank="1"/>
    </cacheField>
    <cacheField name="MARQUE2" numFmtId="0">
      <sharedItems containsBlank="1"/>
    </cacheField>
    <cacheField name="CA TOTAL" numFmtId="43">
      <sharedItems containsString="0" containsBlank="1" containsNumber="1" containsInteger="1" minValue="2500" maxValue="110000"/>
    </cacheField>
    <cacheField name="MOIS" numFmtId="0">
      <sharedItems containsBlank="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34.902939467589" createdVersion="8" refreshedVersion="8" minRefreshableVersion="3" recordCount="270" xr:uid="{BE8F8B19-C635-41B4-9550-5029FACA05AE}">
  <cacheSource type="worksheet">
    <worksheetSource name="SuperMarket"/>
  </cacheSource>
  <cacheFields count="12">
    <cacheField name="ID_Vente" numFmtId="0">
      <sharedItems/>
    </cacheField>
    <cacheField name="Date" numFmtId="14">
      <sharedItems/>
    </cacheField>
    <cacheField name="Rayon" numFmtId="0">
      <sharedItems/>
    </cacheField>
    <cacheField name="Produit" numFmtId="0">
      <sharedItems/>
    </cacheField>
    <cacheField name="Marque" numFmtId="0">
      <sharedItems/>
    </cacheField>
    <cacheField name="Ville" numFmtId="0">
      <sharedItems count="5">
        <s v="Douala"/>
        <s v="Yaoundé"/>
        <s v="Garoua"/>
        <s v="Bafoussam"/>
        <s v="Kribi"/>
      </sharedItems>
    </cacheField>
    <cacheField name="Qté" numFmtId="0">
      <sharedItems count="22">
        <s v="10"/>
        <s v="5"/>
        <s v="20"/>
        <s v="2"/>
        <s v="15"/>
        <s v="8"/>
        <s v="4"/>
        <s v="24"/>
        <s v="12"/>
        <s v="3"/>
        <s v="6"/>
        <s v="40"/>
        <s v="30"/>
        <s v="25"/>
        <s v="50"/>
        <s v="1"/>
        <s v="100"/>
        <s v="48"/>
        <s v="36"/>
        <s v="60"/>
        <s v="18"/>
        <s v="45"/>
      </sharedItems>
    </cacheField>
    <cacheField name="Prix_Unit" numFmtId="165">
      <sharedItems containsMixedTypes="1" containsNumber="1" containsInteger="1" minValue="3500" maxValue="3500"/>
    </cacheField>
    <cacheField name="VILLE2" numFmtId="0">
      <sharedItems/>
    </cacheField>
    <cacheField name="MARQUE2" numFmtId="0">
      <sharedItems/>
    </cacheField>
    <cacheField name="CA TOTAL" numFmtId="43">
      <sharedItems containsSemiMixedTypes="0" containsString="0" containsNumber="1" containsInteger="1" minValue="2500" maxValue="110000"/>
    </cacheField>
    <cacheField name="MOIS" numFmtId="0">
      <sharedItems/>
    </cacheField>
  </cacheFields>
  <extLst>
    <ext xmlns:x14="http://schemas.microsoft.com/office/spreadsheetml/2009/9/main" uri="{725AE2AE-9491-48be-B2B4-4EB974FC3084}">
      <x14:pivotCacheDefinition pivotCacheId="1524441332"/>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34.973277777775" backgroundQuery="1" createdVersion="8" refreshedVersion="8" minRefreshableVersion="3" recordCount="0" supportSubquery="1" supportAdvancedDrill="1" xr:uid="{5F836689-E63E-48DC-BF0B-7422F913529F}">
  <cacheSource type="external" connectionId="2"/>
  <cacheFields count="2">
    <cacheField name="[SuperMarket].[Marque].[Marque]" caption="Marque" numFmtId="0" hierarchy="4" level="1">
      <sharedItems count="5">
        <s v="BVC"/>
        <s v="CIGALE"/>
        <s v="DIOR"/>
        <s v="LAURENT PERRIER"/>
        <s v="SABC"/>
      </sharedItems>
    </cacheField>
    <cacheField name="[Measures].[Somme de CA TOTAL]" caption="Somme de CA TOTAL" numFmtId="0" hierarchy="14" level="32767"/>
  </cacheFields>
  <cacheHierarchies count="15">
    <cacheHierarchy uniqueName="[SuperMarket].[ID_Vente]" caption="ID_Vente" attribute="1" defaultMemberUniqueName="[SuperMarket].[ID_Vente].[All]" allUniqueName="[SuperMarket].[ID_Vente].[All]" dimensionUniqueName="[SuperMarket]" displayFolder="" count="0" memberValueDatatype="130" unbalanced="0"/>
    <cacheHierarchy uniqueName="[SuperMarket].[Date]" caption="Date" attribute="1" defaultMemberUniqueName="[SuperMarket].[Date].[All]" allUniqueName="[SuperMarket].[Date].[All]" dimensionUniqueName="[SuperMarket]" displayFolder="" count="0" memberValueDatatype="130" unbalanced="0"/>
    <cacheHierarchy uniqueName="[SuperMarket].[Rayon]" caption="Rayon" attribute="1" defaultMemberUniqueName="[SuperMarket].[Rayon].[All]" allUniqueName="[SuperMarket].[Rayon].[All]" dimensionUniqueName="[SuperMarket]" displayFolder="" count="0" memberValueDatatype="130" unbalanced="0"/>
    <cacheHierarchy uniqueName="[SuperMarket].[Produit]" caption="Produit" attribute="1" defaultMemberUniqueName="[SuperMarket].[Produit].[All]" allUniqueName="[SuperMarket].[Produit].[All]" dimensionUniqueName="[SuperMarket]" displayFolder="" count="0" memberValueDatatype="130" unbalanced="0"/>
    <cacheHierarchy uniqueName="[SuperMarket].[Marque]" caption="Marque" attribute="1" defaultMemberUniqueName="[SuperMarket].[Marque].[All]" allUniqueName="[SuperMarket].[Marque].[All]" dimensionUniqueName="[SuperMarket]" displayFolder="" count="2" memberValueDatatype="130" unbalanced="0">
      <fieldsUsage count="2">
        <fieldUsage x="-1"/>
        <fieldUsage x="0"/>
      </fieldsUsage>
    </cacheHierarchy>
    <cacheHierarchy uniqueName="[SuperMarket].[Ville]" caption="Ville" attribute="1" defaultMemberUniqueName="[SuperMarket].[Ville].[All]" allUniqueName="[SuperMarket].[Ville].[All]" dimensionUniqueName="[SuperMarket]" displayFolder="" count="0" memberValueDatatype="130" unbalanced="0"/>
    <cacheHierarchy uniqueName="[SuperMarket].[Qté]" caption="Qté" attribute="1" defaultMemberUniqueName="[SuperMarket].[Qté].[All]" allUniqueName="[SuperMarket].[Qté].[All]" dimensionUniqueName="[SuperMarket]" displayFolder="" count="0" memberValueDatatype="130" unbalanced="0"/>
    <cacheHierarchy uniqueName="[SuperMarket].[Prix_Unit]" caption="Prix_Unit" attribute="1" defaultMemberUniqueName="[SuperMarket].[Prix_Unit].[All]" allUniqueName="[SuperMarket].[Prix_Unit].[All]" dimensionUniqueName="[SuperMarket]" displayFolder="" count="0" memberValueDatatype="130" unbalanced="0"/>
    <cacheHierarchy uniqueName="[SuperMarket].[VILLE2]" caption="VILLE2" attribute="1" defaultMemberUniqueName="[SuperMarket].[VILLE2].[All]" allUniqueName="[SuperMarket].[VILLE2].[All]" dimensionUniqueName="[SuperMarket]" displayFolder="" count="0" memberValueDatatype="130" unbalanced="0"/>
    <cacheHierarchy uniqueName="[SuperMarket].[MARQUE2]" caption="MARQUE2" attribute="1" defaultMemberUniqueName="[SuperMarket].[MARQUE2].[All]" allUniqueName="[SuperMarket].[MARQUE2].[All]" dimensionUniqueName="[SuperMarket]" displayFolder="" count="0" memberValueDatatype="130" unbalanced="0"/>
    <cacheHierarchy uniqueName="[SuperMarket].[CA TOTAL]" caption="CA TOTAL" attribute="1" defaultMemberUniqueName="[SuperMarket].[CA TOTAL].[All]" allUniqueName="[SuperMarket].[CA TOTAL].[All]" dimensionUniqueName="[SuperMarket]" displayFolder="" count="0" memberValueDatatype="20" unbalanced="0"/>
    <cacheHierarchy uniqueName="[SuperMarket].[MOIS]" caption="MOIS" attribute="1" defaultMemberUniqueName="[SuperMarket].[MOIS].[All]" allUniqueName="[SuperMarket].[MOIS].[All]" dimensionUniqueName="[SuperMarket]" displayFolder="" count="0" memberValueDatatype="130" unbalanced="0"/>
    <cacheHierarchy uniqueName="[Measures].[__XL_Count SuperMarket]" caption="__XL_Count SuperMarket" measure="1" displayFolder="" measureGroup="SuperMarket" count="0" hidden="1"/>
    <cacheHierarchy uniqueName="[Measures].[__No measures defined]" caption="__No measures defined" measure="1" displayFolder="" count="0" hidden="1"/>
    <cacheHierarchy uniqueName="[Measures].[Somme de CA TOTAL]" caption="Somme de CA TOTAL" measure="1" displayFolder="" measureGroup="SuperMarket" count="0" oneField="1" hidden="1">
      <fieldsUsage count="1">
        <fieldUsage x="1"/>
      </fieldsUsage>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SuperMarket" uniqueName="[SuperMarket]" caption="SuperMarket"/>
  </dimensions>
  <measureGroups count="1">
    <measureGroup name="SuperMarket" caption="SuperMarke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0">
  <r>
    <s v="Neïma"/>
    <s v="Douala"/>
    <s v="10"/>
    <s v="4500"/>
    <s v="DOUALA"/>
    <s v="NEÏMA"/>
    <n v="45000"/>
    <x v="0"/>
  </r>
  <r>
    <s v="OMO"/>
    <s v="Yaoundé"/>
    <s v="5"/>
    <s v="1200"/>
    <s v="YAOUNDÉ"/>
    <s v="OMO"/>
    <n v="6000"/>
    <x v="0"/>
  </r>
  <r>
    <s v="TANGUI"/>
    <s v="Garoua"/>
    <s v="20"/>
    <s v="400"/>
    <s v="GAROUA"/>
    <s v="TANGUI"/>
    <n v="8000"/>
    <x v="0"/>
  </r>
  <r>
    <s v="NIVEA"/>
    <s v="Bafoussam"/>
    <s v="2"/>
    <s v="3500"/>
    <s v="BAFOUSSAM"/>
    <s v="NIVEA"/>
    <n v="7000"/>
    <x v="0"/>
  </r>
  <r>
    <s v="TOP"/>
    <s v="Douala"/>
    <s v="15"/>
    <s v="600"/>
    <s v="DOUALA"/>
    <s v="TOP"/>
    <n v="9000"/>
    <x v="1"/>
  </r>
  <r>
    <s v="JADIDA"/>
    <s v="Yaoundé"/>
    <s v="8"/>
    <s v="1100"/>
    <s v="YAOUNDÉ"/>
    <s v="JADIDA"/>
    <n v="8800"/>
    <x v="1"/>
  </r>
  <r>
    <s v="LACROIX"/>
    <s v="Kribi"/>
    <s v="4"/>
    <s v="850"/>
    <s v="KRIBI"/>
    <s v="LACROIX"/>
    <n v="3400"/>
    <x v="1"/>
  </r>
  <r>
    <s v="CASTEL"/>
    <s v="Douala"/>
    <s v="24"/>
    <s v="650"/>
    <s v="DOUALA"/>
    <s v="CASTEL"/>
    <n v="15600"/>
    <x v="2"/>
  </r>
  <r>
    <s v="CAMAY"/>
    <s v="Garoua"/>
    <s v="12"/>
    <s v="500"/>
    <s v="GAROUA"/>
    <s v="CAMAY"/>
    <n v="6000"/>
    <x v="2"/>
  </r>
  <r>
    <s v="PANZANI"/>
    <s v="Yaoundé"/>
    <s v="20"/>
    <s v="600"/>
    <s v="YAOUNDÉ"/>
    <s v="PANZANI"/>
    <n v="12000"/>
    <x v="2"/>
  </r>
  <r>
    <s v="BVC"/>
    <s v="Kribi"/>
    <s v="3"/>
    <s v="4500"/>
    <s v="KRIBI"/>
    <s v="BVC"/>
    <n v="13500"/>
    <x v="3"/>
  </r>
  <r>
    <s v="PAIC"/>
    <s v="Bafoussam"/>
    <s v="6"/>
    <s v="1100"/>
    <s v="BAFOUSSAM"/>
    <s v="PAIC"/>
    <n v="6600"/>
    <x v="3"/>
  </r>
  <r>
    <s v="SOSUCAM"/>
    <s v="Douala"/>
    <s v="15"/>
    <s v="850"/>
    <s v="DOUALA"/>
    <s v="SOSUCAM"/>
    <n v="12750"/>
    <x v="3"/>
  </r>
  <r>
    <s v="SEME"/>
    <s v="Garoua"/>
    <s v="40"/>
    <s v="350"/>
    <s v="GAROUA"/>
    <s v="SEME"/>
    <n v="14000"/>
    <x v="4"/>
  </r>
  <r>
    <s v="DOVE"/>
    <s v="Yaoundé"/>
    <s v="4"/>
    <s v="2500"/>
    <s v="YAOUNDÉ"/>
    <s v="DOVE"/>
    <n v="10000"/>
    <x v="4"/>
  </r>
  <r>
    <s v="AIRWICK"/>
    <s v="Douala"/>
    <s v="10"/>
    <s v="1800"/>
    <s v="DOUALA"/>
    <s v="AIRWICK"/>
    <n v="18000"/>
    <x v="4"/>
  </r>
  <r>
    <s v="CONNETABLE"/>
    <s v="Kribi"/>
    <s v="30"/>
    <s v="600"/>
    <s v="KRIBI"/>
    <s v="CONNETABLE"/>
    <n v="18000"/>
    <x v="5"/>
  </r>
  <r>
    <s v="DJINO"/>
    <s v="Bafoussam"/>
    <s v="12"/>
    <s v="600"/>
    <s v="BAFOUSSAM"/>
    <s v="DJINO"/>
    <n v="7200"/>
    <x v="5"/>
  </r>
  <r>
    <s v="SGMC"/>
    <s v="Douala"/>
    <s v="25"/>
    <s v="750"/>
    <s v="DOUALA"/>
    <s v="SGMC"/>
    <n v="18750"/>
    <x v="6"/>
  </r>
  <r>
    <s v="ARIEL"/>
    <s v="Yaoundé"/>
    <s v="3"/>
    <s v="4500"/>
    <s v="YAOUNDÉ"/>
    <s v="ARIEL"/>
    <n v="13500"/>
    <x v="6"/>
  </r>
  <r>
    <s v="COLGATE"/>
    <s v="Garoua"/>
    <s v="10"/>
    <s v="800"/>
    <s v="GAROUA"/>
    <s v="COLGATE"/>
    <n v="8000"/>
    <x v="6"/>
  </r>
  <r>
    <s v="DOLAIT"/>
    <s v="Douala"/>
    <s v="20"/>
    <s v="500"/>
    <s v="DOUALA"/>
    <s v="DOLAIT"/>
    <n v="10000"/>
    <x v="7"/>
  </r>
  <r>
    <s v="UCV"/>
    <s v="Yaoundé"/>
    <s v="50"/>
    <s v="250"/>
    <s v="YAOUNDÉ"/>
    <s v="UCV"/>
    <n v="12500"/>
    <x v="7"/>
  </r>
  <r>
    <s v="SCOTCH"/>
    <s v="Kribi"/>
    <s v="12"/>
    <s v="300"/>
    <s v="KRIBI"/>
    <s v="SCOTCH"/>
    <n v="3600"/>
    <x v="7"/>
  </r>
  <r>
    <s v="VIMTO"/>
    <s v="Bafoussam"/>
    <s v="24"/>
    <s v="500"/>
    <s v="BAFOUSSAM"/>
    <s v="VIMTO"/>
    <n v="12000"/>
    <x v="8"/>
  </r>
  <r>
    <s v="MIXA"/>
    <s v="Douala"/>
    <s v="5"/>
    <s v="2200"/>
    <s v="DOUALA"/>
    <s v="MIXA"/>
    <n v="11000"/>
    <x v="8"/>
  </r>
  <r>
    <s v="BAMA"/>
    <s v="Yaoundé"/>
    <s v="4"/>
    <s v="1800"/>
    <s v="YAOUNDÉ"/>
    <s v="BAMA"/>
    <n v="7200"/>
    <x v="8"/>
  </r>
  <r>
    <s v="BLACK LABEL"/>
    <s v="Douala"/>
    <s v="2"/>
    <s v="25000"/>
    <s v="DOUALA"/>
    <s v="BLACK LABEL"/>
    <n v="50000"/>
    <x v="9"/>
  </r>
  <r>
    <s v="AJAX"/>
    <s v="Garoua"/>
    <s v="8"/>
    <s v="1400"/>
    <s v="GAROUA"/>
    <s v="AJAX"/>
    <n v="11200"/>
    <x v="9"/>
  </r>
  <r>
    <s v="TARTINA"/>
    <s v="Kribi"/>
    <s v="6"/>
    <s v="2500"/>
    <s v="KRIBI"/>
    <s v="TARTINA"/>
    <n v="15000"/>
    <x v="9"/>
  </r>
  <r>
    <s v="AXE"/>
    <s v="Bafoussam"/>
    <s v="10"/>
    <s v="2800"/>
    <s v="BAFOUSSAM"/>
    <s v="AXE"/>
    <n v="28000"/>
    <x v="10"/>
  </r>
  <r>
    <s v="KADJI"/>
    <s v="Yaoundé"/>
    <s v="15"/>
    <s v="700"/>
    <s v="YAOUNDÉ"/>
    <s v="KADJI"/>
    <n v="10500"/>
    <x v="10"/>
  </r>
  <r>
    <s v="REGINA"/>
    <s v="Douala"/>
    <s v="12"/>
    <s v="450"/>
    <s v="DOUALA"/>
    <s v="REGINA"/>
    <n v="5400"/>
    <x v="10"/>
  </r>
  <r>
    <s v="PROPRE"/>
    <s v="Garoua"/>
    <s v="20"/>
    <s v="1200"/>
    <s v="GAROUA"/>
    <s v="PROPRE"/>
    <n v="24000"/>
    <x v="11"/>
  </r>
  <r>
    <s v="MOET"/>
    <s v="Douala"/>
    <s v="1"/>
    <s v="45000"/>
    <s v="DOUALA"/>
    <s v="MOET"/>
    <n v="45000"/>
    <x v="11"/>
  </r>
  <r>
    <s v="AGROCAM"/>
    <s v="Yaoundé"/>
    <s v="5"/>
    <s v="3500"/>
    <s v="YAOUNDÉ"/>
    <s v="AGROCAM"/>
    <n v="17500"/>
    <x v="11"/>
  </r>
  <r>
    <s v="DIOR"/>
    <s v="Kribi"/>
    <s v="2"/>
    <s v="55000"/>
    <s v="KRIBI"/>
    <s v="DIOR"/>
    <n v="110000"/>
    <x v="11"/>
  </r>
  <r>
    <s v="GUINNESS"/>
    <s v="Douala"/>
    <s v="12"/>
    <s v="800"/>
    <s v="DOUALA"/>
    <s v="GUINNESS"/>
    <n v="9600"/>
    <x v="11"/>
  </r>
  <r>
    <s v="SABC"/>
    <s v="Douala"/>
    <s v="20"/>
    <s v="600"/>
    <s v="DOUALA"/>
    <s v="SABC"/>
    <n v="12000"/>
    <x v="0"/>
  </r>
  <r>
    <s v="AZUR"/>
    <s v="Yaoundé"/>
    <s v="5"/>
    <s v="1500"/>
    <s v="YAOUNDÉ"/>
    <s v="AZUR"/>
    <n v="7500"/>
    <x v="0"/>
  </r>
  <r>
    <s v="LACROIX"/>
    <s v="Garoua"/>
    <s v="12"/>
    <s v="850"/>
    <s v="GAROUA"/>
    <s v="LACROIX"/>
    <n v="10200"/>
    <x v="0"/>
  </r>
  <r>
    <s v="BIO"/>
    <s v="Bafoussam"/>
    <s v="15"/>
    <s v="500"/>
    <s v="BAFOUSSAM"/>
    <s v="BIO"/>
    <n v="7500"/>
    <x v="0"/>
  </r>
  <r>
    <s v="GUINNESS"/>
    <s v="Douala"/>
    <s v="24"/>
    <s v="650"/>
    <s v="DOUALA"/>
    <s v="GUINNESS"/>
    <n v="15600"/>
    <x v="0"/>
  </r>
  <r>
    <s v="MAMAN"/>
    <s v="Kribi"/>
    <s v="40"/>
    <s v="450"/>
    <s v="KRIBI"/>
    <s v="MAMAN"/>
    <n v="18000"/>
    <x v="1"/>
  </r>
  <r>
    <s v="SABC"/>
    <s v="Yaoundé"/>
    <s v="30"/>
    <s v="500"/>
    <s v="YAOUNDÉ"/>
    <s v="SABC"/>
    <n v="15000"/>
    <x v="1"/>
  </r>
  <r>
    <s v="CHANEL"/>
    <s v="Douala"/>
    <s v="1"/>
    <s v="75000"/>
    <s v="DOUALA"/>
    <s v="CHANEL"/>
    <n v="75000"/>
    <x v="1"/>
  </r>
  <r>
    <s v="MADAR"/>
    <s v="Garoua"/>
    <s v="10"/>
    <s v="1200"/>
    <s v="GAROUA"/>
    <s v="MADAR"/>
    <n v="12000"/>
    <x v="1"/>
  </r>
  <r>
    <s v="MAGGI"/>
    <s v="Bafoussam"/>
    <s v="100"/>
    <s v="25"/>
    <s v="BAFOUSSAM"/>
    <s v="MAGGI"/>
    <n v="2500"/>
    <x v="1"/>
  </r>
  <r>
    <s v="SUPERMONT"/>
    <s v="Kribi"/>
    <s v="50"/>
    <s v="250"/>
    <s v="KRIBI"/>
    <s v="SUPERMONT"/>
    <n v="12500"/>
    <x v="2"/>
  </r>
  <r>
    <s v="TANTY"/>
    <s v="Douala"/>
    <s v="15"/>
    <s v="950"/>
    <s v="DOUALA"/>
    <s v="TANTY"/>
    <n v="14250"/>
    <x v="2"/>
  </r>
  <r>
    <s v="SABC"/>
    <s v="Yaoundé"/>
    <s v="12"/>
    <s v="700"/>
    <s v="YAOUNDÉ"/>
    <s v="SABC"/>
    <n v="8400"/>
    <x v="2"/>
  </r>
  <r>
    <s v="TOPICREM"/>
    <s v="Garoua"/>
    <s v="3"/>
    <s v="8500"/>
    <s v="GAROUA"/>
    <s v="TOPICREM"/>
    <n v="25500"/>
    <x v="2"/>
  </r>
  <r>
    <s v="AJAX"/>
    <s v="Douala"/>
    <s v="6"/>
    <s v="1400"/>
    <s v="DOUALA"/>
    <s v="AJAX"/>
    <n v="8400"/>
    <x v="3"/>
  </r>
  <r>
    <s v="NESCAFE"/>
    <s v="Bafoussam"/>
    <s v="8"/>
    <s v="3500"/>
    <s v="BAFOUSSAM"/>
    <s v="NESCAFE"/>
    <n v="28000"/>
    <x v="3"/>
  </r>
  <r>
    <s v="RAUCH"/>
    <s v="Kribi"/>
    <s v="10"/>
    <s v="1200"/>
    <s v="KRIBI"/>
    <s v="RAUCH"/>
    <n v="12000"/>
    <x v="3"/>
  </r>
  <r>
    <s v="NIDO"/>
    <s v="Yaoundé"/>
    <s v="5"/>
    <s v="6500"/>
    <s v="YAOUNDÉ"/>
    <s v="NIDO"/>
    <n v="32500"/>
    <x v="3"/>
  </r>
  <r>
    <s v="LOTUS"/>
    <s v="Douala"/>
    <s v="24"/>
    <s v="400"/>
    <s v="DOUALA"/>
    <s v="LOTUS"/>
    <n v="9600"/>
    <x v="3"/>
  </r>
  <r>
    <s v="SABC"/>
    <s v="Garoua"/>
    <s v="15"/>
    <s v="1100"/>
    <s v="GAROUA"/>
    <s v="SABC"/>
    <n v="16500"/>
    <x v="4"/>
  </r>
  <r>
    <s v="ORAL-B"/>
    <s v="Bafoussam"/>
    <s v="12"/>
    <s v="1500"/>
    <s v="BAFOUSSAM"/>
    <s v="ORAL-B"/>
    <n v="18000"/>
    <x v="4"/>
  </r>
  <r>
    <s v="LIPTON"/>
    <s v="Kribi"/>
    <s v="20"/>
    <s v="1200"/>
    <s v="KRIBI"/>
    <s v="LIPTON"/>
    <n v="24000"/>
    <x v="4"/>
  </r>
  <r>
    <s v="RAUCH"/>
    <s v="Douala"/>
    <s v="12"/>
    <s v="1100"/>
    <s v="DOUALA"/>
    <s v="RAUCH"/>
    <n v="13200"/>
    <x v="5"/>
  </r>
  <r>
    <s v="MAGGI"/>
    <s v="Yaoundé"/>
    <s v="25"/>
    <s v="650"/>
    <s v="YAOUNDÉ"/>
    <s v="MAGGI"/>
    <n v="16250"/>
    <x v="5"/>
  </r>
  <r>
    <s v="AIRWICK"/>
    <s v="Garoua"/>
    <s v="6"/>
    <s v="2200"/>
    <s v="GAROUA"/>
    <s v="AIRWICK"/>
    <n v="13200"/>
    <x v="5"/>
  </r>
  <r>
    <s v="NIVEA"/>
    <s v="Kribi"/>
    <s v="4"/>
    <s v="4500"/>
    <s v="KRIBI"/>
    <s v="NIVEA"/>
    <n v="18000"/>
    <x v="5"/>
  </r>
  <r>
    <s v="SABC"/>
    <s v="Bafoussam"/>
    <s v="30"/>
    <s v="600"/>
    <s v="BAFOUSSAM"/>
    <s v="SABC"/>
    <n v="18000"/>
    <x v="6"/>
  </r>
  <r>
    <s v="CASSEGRAIN"/>
    <s v="Douala"/>
    <s v="15"/>
    <s v="1400"/>
    <s v="DOUALA"/>
    <s v="CASSEGRAIN"/>
    <n v="21000"/>
    <x v="6"/>
  </r>
  <r>
    <s v="TOTAL"/>
    <s v="Yaoundé"/>
    <s v="5"/>
    <s v="3500"/>
    <s v="YAOUNDÉ"/>
    <s v="TOTAL"/>
    <n v="17500"/>
    <x v="6"/>
  </r>
  <r>
    <s v="DOVE"/>
    <s v="Garoua"/>
    <s v="10"/>
    <s v="2800"/>
    <s v="GAROUA"/>
    <s v="DOVE"/>
    <n v="28000"/>
    <x v="6"/>
  </r>
  <r>
    <s v="SABC"/>
    <s v="Douala"/>
    <s v="48"/>
    <s v="600"/>
    <s v="DOUALA"/>
    <s v="SABC"/>
    <n v="28800"/>
    <x v="7"/>
  </r>
  <r>
    <s v="MILO"/>
    <s v="Bafoussam"/>
    <s v="8"/>
    <s v="4200"/>
    <s v="BAFOUSSAM"/>
    <s v="MILO"/>
    <n v="33600"/>
    <x v="7"/>
  </r>
  <r>
    <s v="OKI"/>
    <s v="Kribi"/>
    <s v="20"/>
    <s v="650"/>
    <s v="KRIBI"/>
    <s v="OKI"/>
    <n v="13000"/>
    <x v="7"/>
  </r>
  <r>
    <s v="TEISSEIRE"/>
    <s v="Yaoundé"/>
    <s v="6"/>
    <s v="3800"/>
    <s v="YAOUNDÉ"/>
    <s v="TEISSEIRE"/>
    <n v="22800"/>
    <x v="8"/>
  </r>
  <r>
    <s v="LU"/>
    <s v="Douala"/>
    <s v="50"/>
    <s v="350"/>
    <s v="DOUALA"/>
    <s v="LU"/>
    <n v="17500"/>
    <x v="8"/>
  </r>
  <r>
    <s v="MAYBELLINE"/>
    <s v="Garoua"/>
    <s v="15"/>
    <s v="1200"/>
    <s v="GAROUA"/>
    <s v="MAYBELLINE"/>
    <n v="18000"/>
    <x v="8"/>
  </r>
  <r>
    <s v="BAYGON"/>
    <s v="Bafoussam"/>
    <s v="12"/>
    <s v="2800"/>
    <s v="BAFOUSSAM"/>
    <s v="BAYGON"/>
    <n v="33600"/>
    <x v="8"/>
  </r>
  <r>
    <s v="VITACOCO"/>
    <s v="Kribi"/>
    <s v="10"/>
    <s v="1500"/>
    <s v="KRIBI"/>
    <s v="VITACOCO"/>
    <n v="15000"/>
    <x v="9"/>
  </r>
  <r>
    <s v="CHOCOCAM"/>
    <s v="Douala"/>
    <s v="20"/>
    <s v="1800"/>
    <s v="DOUALA"/>
    <s v="CHOCOCAM"/>
    <n v="36000"/>
    <x v="9"/>
  </r>
  <r>
    <s v="SOUPLINE"/>
    <s v="Yaoundé"/>
    <s v="5"/>
    <s v="3200"/>
    <s v="YAOUNDÉ"/>
    <s v="SOUPLINE"/>
    <n v="16000"/>
    <x v="9"/>
  </r>
  <r>
    <s v="SABC"/>
    <s v="Garoua"/>
    <s v="24"/>
    <s v="700"/>
    <s v="GAROUA"/>
    <s v="SABC"/>
    <n v="16800"/>
    <x v="10"/>
  </r>
  <r>
    <s v="GILLETTE"/>
    <s v="Bafoussam"/>
    <s v="40"/>
    <s v="350"/>
    <s v="BAFOUSSAM"/>
    <s v="GILLETTE"/>
    <n v="14000"/>
    <x v="10"/>
  </r>
  <r>
    <s v="REGINA"/>
    <s v="Kribi"/>
    <s v="15"/>
    <s v="850"/>
    <s v="KRIBI"/>
    <s v="REGINA"/>
    <n v="12750"/>
    <x v="10"/>
  </r>
  <r>
    <s v="BVC"/>
    <s v="Douala"/>
    <s v="6"/>
    <s v="5500"/>
    <s v="DOUALA"/>
    <s v="BVC"/>
    <n v="33000"/>
    <x v="11"/>
  </r>
  <r>
    <s v="AGROCAM"/>
    <s v="Yaoundé"/>
    <s v="3"/>
    <s v="12500"/>
    <s v="YAOUNDÉ"/>
    <s v="AGROCAM"/>
    <n v="37500"/>
    <x v="11"/>
  </r>
  <r>
    <s v="CHIVAS"/>
    <s v="Douala"/>
    <s v="2"/>
    <s v="35000"/>
    <s v="DOUALA"/>
    <s v="CHIVAS"/>
    <n v="70000"/>
    <x v="11"/>
  </r>
  <r>
    <s v="LE PETIT MARSEILLAIS"/>
    <s v="Bafoussam"/>
    <s v="12"/>
    <s v="2200"/>
    <s v="BAFOUSSAM"/>
    <s v="LE PETIT MARSEILLAIS"/>
    <n v="26400"/>
    <x v="11"/>
  </r>
  <r>
    <s v="JADIDA"/>
    <s v="Douala"/>
    <s v="10"/>
    <s v="1200"/>
    <s v="DOUALA"/>
    <s v="JADIDA"/>
    <n v="12000"/>
    <x v="0"/>
  </r>
  <r>
    <s v="NIVEA"/>
    <s v="Yaoundé"/>
    <s v="5"/>
    <s v="3800"/>
    <s v="YAOUNDÉ"/>
    <s v="NIVEA"/>
    <n v="19000"/>
    <x v="0"/>
  </r>
  <r>
    <s v="RAUCH"/>
    <s v="Garoua"/>
    <s v="15"/>
    <s v="1300"/>
    <s v="GAROUA"/>
    <s v="RAUCH"/>
    <n v="19500"/>
    <x v="0"/>
  </r>
  <r>
    <s v="AJAX"/>
    <s v="Bafoussam"/>
    <s v="8"/>
    <s v="1500"/>
    <s v="BAFOUSSAM"/>
    <s v="AJAX"/>
    <n v="12000"/>
    <x v="0"/>
  </r>
  <r>
    <s v="LA VACHE QUI RIT"/>
    <s v="Douala"/>
    <s v="24"/>
    <s v="1800"/>
    <s v="DOUALA"/>
    <s v="LA VACHE QUI RIT"/>
    <n v="43200"/>
    <x v="1"/>
  </r>
  <r>
    <s v="SABC"/>
    <s v="Kribi"/>
    <s v="36"/>
    <s v="700"/>
    <s v="KRIBI"/>
    <s v="SABC"/>
    <n v="25200"/>
    <x v="1"/>
  </r>
  <r>
    <s v="GARNIER"/>
    <s v="Yaoundé"/>
    <s v="12"/>
    <s v="1500"/>
    <s v="YAOUNDÉ"/>
    <s v="GARNIER"/>
    <n v="18000"/>
    <x v="1"/>
  </r>
  <r>
    <s v="SCOTCH-BRITE"/>
    <s v="Douala"/>
    <s v="20"/>
    <s v="450"/>
    <s v="DOUALA"/>
    <s v="SCOTCH-BRITE"/>
    <n v="9000"/>
    <x v="1"/>
  </r>
  <r>
    <s v="CAMLAIT"/>
    <s v="Garoua"/>
    <s v="40"/>
    <s v="300"/>
    <s v="GAROUA"/>
    <s v="CAMLAIT"/>
    <n v="12000"/>
    <x v="2"/>
  </r>
  <r>
    <s v="SABC"/>
    <s v="Bafoussam"/>
    <s v="50"/>
    <s v="400"/>
    <s v="BAFOUSSAM"/>
    <s v="SABC"/>
    <n v="20000"/>
    <x v="2"/>
  </r>
  <r>
    <s v="AMORA"/>
    <s v="Douala"/>
    <s v="6"/>
    <s v="1400"/>
    <s v="DOUALA"/>
    <s v="AMORA"/>
    <n v="8400"/>
    <x v="2"/>
  </r>
  <r>
    <s v="USHAÏA"/>
    <s v="Yaoundé"/>
    <s v="15"/>
    <s v="2500"/>
    <s v="YAOUNDÉ"/>
    <s v="USHAÏA"/>
    <n v="37500"/>
    <x v="2"/>
  </r>
  <r>
    <s v="SANITERGENT"/>
    <s v="Kribi"/>
    <s v="10"/>
    <s v="1800"/>
    <s v="KRIBI"/>
    <s v="SANITERGENT"/>
    <n v="18000"/>
    <x v="3"/>
  </r>
  <r>
    <s v="TEISSEIRE"/>
    <s v="Garoua"/>
    <s v="4"/>
    <s v="3500"/>
    <s v="GAROUA"/>
    <s v="TEISSEIRE"/>
    <n v="14000"/>
    <x v="3"/>
  </r>
  <r>
    <s v="BORDEAU CHESNEL"/>
    <s v="Douala"/>
    <s v="5"/>
    <s v="4500"/>
    <s v="DOUALA"/>
    <s v="BORDEAU CHESNEL"/>
    <n v="22500"/>
    <x v="3"/>
  </r>
  <r>
    <s v="L'OREAL"/>
    <s v="Yaoundé"/>
    <s v="3"/>
    <s v="9500"/>
    <s v="YAOUNDÉ"/>
    <s v="L'OREAL"/>
    <n v="28500"/>
    <x v="3"/>
  </r>
  <r>
    <s v="Vittel"/>
    <s v="Bafoussam"/>
    <s v="30"/>
    <s v="850"/>
    <s v="BAFOUSSAM"/>
    <s v="VITTEL"/>
    <n v="25500"/>
    <x v="3"/>
  </r>
  <r>
    <s v="PUGET"/>
    <s v="Kribi"/>
    <s v="2"/>
    <s v="6500"/>
    <s v="KRIBI"/>
    <s v="PUGET"/>
    <n v="13000"/>
    <x v="4"/>
  </r>
  <r>
    <s v="Le Chat"/>
    <s v="Douala"/>
    <s v="5"/>
    <s v="7500"/>
    <s v="DOUALA"/>
    <s v="LE CHAT"/>
    <n v="37500"/>
    <x v="4"/>
  </r>
  <r>
    <s v="SABC"/>
    <s v="Garoua"/>
    <s v="24"/>
    <s v="600"/>
    <s v="GAROUA"/>
    <s v="SABC"/>
    <n v="14400"/>
    <x v="4"/>
  </r>
  <r>
    <s v="KELLOGG'S"/>
    <s v="Yaoundé"/>
    <s v="8"/>
    <s v="3200"/>
    <s v="YAOUNDÉ"/>
    <s v="KELLOGG'S"/>
    <n v="25600"/>
    <x v="4"/>
  </r>
  <r>
    <s v="PALMOLIVE"/>
    <s v="Bafoussam"/>
    <s v="12"/>
    <s v="1400"/>
    <s v="BAFOUSSAM"/>
    <s v="PALMOLIVE"/>
    <n v="16800"/>
    <x v="5"/>
  </r>
  <r>
    <s v="PROPRE"/>
    <s v="Douala"/>
    <s v="20"/>
    <s v="850"/>
    <s v="DOUALA"/>
    <s v="PROPRE"/>
    <n v="17000"/>
    <x v="5"/>
  </r>
  <r>
    <s v="CERES"/>
    <s v="Kribi"/>
    <s v="15"/>
    <s v="1100"/>
    <s v="KRIBI"/>
    <s v="CERES"/>
    <n v="16500"/>
    <x v="5"/>
  </r>
  <r>
    <s v="BONNE MAMAN"/>
    <s v="Yaoundé"/>
    <s v="6"/>
    <s v="2200"/>
    <s v="YAOUNDÉ"/>
    <s v="BONNE MAMAN"/>
    <n v="13200"/>
    <x v="5"/>
  </r>
  <r>
    <s v="SABC"/>
    <s v="Douala"/>
    <s v="24"/>
    <s v="500"/>
    <s v="DOUALA"/>
    <s v="SABC"/>
    <n v="12000"/>
    <x v="6"/>
  </r>
  <r>
    <s v="PETIT NAVIRE"/>
    <s v="Yaoundé"/>
    <s v="10"/>
    <s v="1100"/>
    <s v="YAOUNDÉ"/>
    <s v="PETIT NAVIRE"/>
    <n v="11000"/>
    <x v="6"/>
  </r>
  <r>
    <s v="PAMPERS"/>
    <s v="Garoua"/>
    <s v="4"/>
    <s v="8500"/>
    <s v="GAROUA"/>
    <s v="PAMPERS"/>
    <n v="34000"/>
    <x v="6"/>
  </r>
  <r>
    <s v="ST MARC"/>
    <s v="Bafoussam"/>
    <s v="15"/>
    <s v="1800"/>
    <s v="BAFOUSSAM"/>
    <s v="ST MARC"/>
    <n v="27000"/>
    <x v="6"/>
  </r>
  <r>
    <s v="SABC"/>
    <s v="Kribi"/>
    <s v="12"/>
    <s v="1100"/>
    <s v="KRIBI"/>
    <s v="SABC"/>
    <n v="13200"/>
    <x v="7"/>
  </r>
  <r>
    <s v="BARILLA"/>
    <s v="Douala"/>
    <s v="8"/>
    <s v="2200"/>
    <s v="DOUALA"/>
    <s v="BARILLA"/>
    <n v="17600"/>
    <x v="7"/>
  </r>
  <r>
    <s v="SIGNAL"/>
    <s v="Yaoundé"/>
    <s v="20"/>
    <s v="800"/>
    <s v="YAOUNDÉ"/>
    <s v="SIGNAL"/>
    <n v="16000"/>
    <x v="7"/>
  </r>
  <r>
    <s v="HARPIC"/>
    <s v="Garoua"/>
    <s v="12"/>
    <s v="1400"/>
    <s v="GAROUA"/>
    <s v="HARPIC"/>
    <n v="16800"/>
    <x v="8"/>
  </r>
  <r>
    <s v="RAUCH"/>
    <s v="Bafoussam"/>
    <s v="6"/>
    <s v="1300"/>
    <s v="BAFOUSSAM"/>
    <s v="RAUCH"/>
    <n v="7800"/>
    <x v="8"/>
  </r>
  <r>
    <s v="MELFOR"/>
    <s v="Douala"/>
    <s v="10"/>
    <s v="950"/>
    <s v="DOUALA"/>
    <s v="MELFOR"/>
    <n v="9500"/>
    <x v="8"/>
  </r>
  <r>
    <s v="PALMOLIVE"/>
    <s v="Kribi"/>
    <s v="5"/>
    <s v="2800"/>
    <s v="KRIBI"/>
    <s v="PALMOLIVE"/>
    <n v="14000"/>
    <x v="8"/>
  </r>
  <r>
    <s v="SIROP SPORT"/>
    <s v="Yaoundé"/>
    <s v="4"/>
    <s v="2500"/>
    <s v="YAOUNDÉ"/>
    <s v="SIROP SPORT"/>
    <n v="10000"/>
    <x v="9"/>
  </r>
  <r>
    <s v="DUCROS"/>
    <s v="Garoua"/>
    <s v="30"/>
    <s v="600"/>
    <s v="GAROUA"/>
    <s v="DUCROS"/>
    <n v="18000"/>
    <x v="9"/>
  </r>
  <r>
    <s v="MONSAVON"/>
    <s v="Bafoussam"/>
    <s v="8"/>
    <s v="1200"/>
    <s v="BAFOUSSAM"/>
    <s v="MONSAVON"/>
    <n v="9600"/>
    <x v="9"/>
  </r>
  <r>
    <s v="SUPERMONT"/>
    <s v="Douala"/>
    <s v="100"/>
    <s v="250"/>
    <s v="DOUALA"/>
    <s v="SUPERMONT"/>
    <n v="25000"/>
    <x v="10"/>
  </r>
  <r>
    <s v="CIGALE"/>
    <s v="Yaoundé"/>
    <s v="20"/>
    <s v="3500"/>
    <s v="YAOUNDÉ"/>
    <s v="CIGALE"/>
    <n v="70000"/>
    <x v="10"/>
  </r>
  <r>
    <s v="DETTOL"/>
    <s v="Kribi"/>
    <s v="15"/>
    <s v="1100"/>
    <s v="KRIBI"/>
    <s v="DETTOL"/>
    <n v="16500"/>
    <x v="10"/>
  </r>
  <r>
    <s v="ALBAL"/>
    <s v="Garoua"/>
    <s v="12"/>
    <s v="1500"/>
    <s v="GAROUA"/>
    <s v="ALBAL"/>
    <n v="18000"/>
    <x v="10"/>
  </r>
  <r>
    <s v="JP CHENET"/>
    <s v="Douala"/>
    <s v="12"/>
    <s v="6500"/>
    <s v="DOUALA"/>
    <s v="JP CHENET"/>
    <n v="78000"/>
    <x v="11"/>
  </r>
  <r>
    <s v="LESIEUR"/>
    <s v="Bafoussam"/>
    <s v="10"/>
    <s v="2400"/>
    <s v="BAFOUSSAM"/>
    <s v="LESIEUR"/>
    <n v="24000"/>
    <x v="11"/>
  </r>
  <r>
    <s v="SABC"/>
    <s v="Yaoundé"/>
    <s v="24"/>
    <s v="650"/>
    <s v="YAOUNDÉ"/>
    <s v="SABC"/>
    <n v="15600"/>
    <x v="11"/>
  </r>
  <r>
    <s v="FERRERO"/>
    <s v="Douala"/>
    <s v="5"/>
    <s v="8500"/>
    <s v="DOUALA"/>
    <s v="FERRERO"/>
    <n v="42500"/>
    <x v="11"/>
  </r>
  <r>
    <s v="GLENFIDDICH"/>
    <s v="Kribi"/>
    <s v="1"/>
    <s v="45000"/>
    <s v="KRIBI"/>
    <s v="GLENFIDDICH"/>
    <n v="45000"/>
    <x v="11"/>
  </r>
  <r>
    <s v="OKI"/>
    <s v="Garoua"/>
    <s v="15"/>
    <s v="1200"/>
    <s v="GAROUA"/>
    <s v="OKI"/>
    <n v="18000"/>
    <x v="11"/>
  </r>
  <r>
    <s v="LAURENT PERRIER"/>
    <s v="Douala"/>
    <s v="2"/>
    <s v="55000"/>
    <s v="DOUALA"/>
    <s v="LAURENT PERRIER"/>
    <n v="110000"/>
    <x v="11"/>
  </r>
  <r>
    <s v="LIPTON"/>
    <s v="Douala"/>
    <s v="25"/>
    <s v="1200"/>
    <s v="DOUALA"/>
    <s v="LIPTON"/>
    <n v="30000"/>
    <x v="0"/>
  </r>
  <r>
    <s v="PAMPERS"/>
    <s v="Yaoundé"/>
    <s v="5"/>
    <s v="8500"/>
    <s v="YAOUNDÉ"/>
    <s v="PAMPERS"/>
    <n v="42500"/>
    <x v="0"/>
  </r>
  <r>
    <s v="RAUCH"/>
    <s v="Garoua"/>
    <s v="12"/>
    <s v="1300"/>
    <s v="GAROUA"/>
    <s v="RAUCH"/>
    <n v="15600"/>
    <x v="0"/>
  </r>
  <r>
    <s v="MONSAVON"/>
    <s v="Bafoussam"/>
    <s v="8"/>
    <s v="1500"/>
    <s v="BAFOUSSAM"/>
    <s v="MONSAVON"/>
    <n v="12000"/>
    <x v="0"/>
  </r>
  <r>
    <s v="BONNE MAMAN"/>
    <s v="Douala"/>
    <s v="10"/>
    <s v="2200"/>
    <s v="DOUALA"/>
    <s v="BONNE MAMAN"/>
    <n v="22000"/>
    <x v="1"/>
  </r>
  <r>
    <s v="SEME"/>
    <s v="Kribi"/>
    <s v="60"/>
    <s v="350"/>
    <s v="KRIBI"/>
    <s v="SEME"/>
    <n v="21000"/>
    <x v="1"/>
  </r>
  <r>
    <s v="DOVE"/>
    <s v="Yaoundé"/>
    <s v="15"/>
    <s v="2200"/>
    <s v="YAOUNDÉ"/>
    <s v="DOVE"/>
    <n v="33000"/>
    <x v="1"/>
  </r>
  <r>
    <s v="OKI"/>
    <s v="Douala"/>
    <s v="12"/>
    <s v="1200"/>
    <s v="DOUALA"/>
    <s v="OKI"/>
    <n v="14400"/>
    <x v="1"/>
  </r>
  <r>
    <s v="REGINA"/>
    <s v="Garoua"/>
    <s v="20"/>
    <s v="850"/>
    <s v="GAROUA"/>
    <s v="REGINA"/>
    <n v="17000"/>
    <x v="2"/>
  </r>
  <r>
    <s v="CASTEL"/>
    <s v="Bafoussam"/>
    <s v="48"/>
    <s v="650"/>
    <s v="BAFOUSSAM"/>
    <s v="CASTEL"/>
    <n v="31200"/>
    <x v="2"/>
  </r>
  <r>
    <s v="CONNETABLE"/>
    <s v="Douala"/>
    <s v="30"/>
    <s v="600"/>
    <s v="DOUALA"/>
    <s v="CONNETABLE"/>
    <n v="18000"/>
    <x v="2"/>
  </r>
  <r>
    <s v="GARNIER"/>
    <s v="Yaoundé"/>
    <s v="8"/>
    <s v="2800"/>
    <s v="YAOUNDÉ"/>
    <s v="GARNIER"/>
    <n v="22400"/>
    <x v="2"/>
  </r>
  <r>
    <s v="PROPRE"/>
    <s v="Kribi"/>
    <s v="20"/>
    <s v="1200"/>
    <s v="KRIBI"/>
    <s v="PROPRE"/>
    <n v="24000"/>
    <x v="3"/>
  </r>
  <r>
    <s v="BVC"/>
    <s v="Garoua"/>
    <s v="6"/>
    <s v="4500"/>
    <s v="GAROUA"/>
    <s v="BVC"/>
    <n v="27000"/>
    <x v="3"/>
  </r>
  <r>
    <s v="PANZANI"/>
    <s v="Douala"/>
    <s v="50"/>
    <s v="600"/>
    <s v="DOUALA"/>
    <s v="PANZANI"/>
    <n v="30000"/>
    <x v="3"/>
  </r>
  <r>
    <s v="MIXA"/>
    <s v="Yaoundé"/>
    <s v="5"/>
    <s v="3200"/>
    <s v="YAOUNDÉ"/>
    <s v="MIXA"/>
    <n v="16000"/>
    <x v="3"/>
  </r>
  <r>
    <s v="DJINO"/>
    <s v="Bafoussam"/>
    <s v="24"/>
    <s v="600"/>
    <s v="BAFOUSSAM"/>
    <s v="DJINO"/>
    <n v="14400"/>
    <x v="3"/>
  </r>
  <r>
    <s v="CIGALE"/>
    <s v="Kribi"/>
    <s v="15"/>
    <s v="3500"/>
    <s v="KRIBI"/>
    <s v="CIGALE"/>
    <n v="52500"/>
    <x v="4"/>
  </r>
  <r>
    <s v="AJAX"/>
    <s v="Douala"/>
    <s v="10"/>
    <s v="1400"/>
    <s v="DOUALA"/>
    <s v="AJAX"/>
    <n v="14000"/>
    <x v="4"/>
  </r>
  <r>
    <s v="SABC"/>
    <s v="Garoua"/>
    <s v="36"/>
    <s v="700"/>
    <s v="GAROUA"/>
    <s v="SABC"/>
    <n v="25200"/>
    <x v="4"/>
  </r>
  <r>
    <s v="TARTINA"/>
    <s v="Douala"/>
    <s v="10"/>
    <s v="2500"/>
    <s v="DOUALA"/>
    <s v="TARTINA"/>
    <n v="25000"/>
    <x v="5"/>
  </r>
  <r>
    <s v="CAMAY"/>
    <s v="Yaoundé"/>
    <s v="20"/>
    <s v="500"/>
    <s v="YAOUNDÉ"/>
    <s v="CAMAY"/>
    <n v="10000"/>
    <x v="5"/>
  </r>
  <r>
    <s v="SABC"/>
    <s v="Garoua"/>
    <s v="24"/>
    <s v="600"/>
    <s v="GAROUA"/>
    <s v="SABC"/>
    <n v="14400"/>
    <x v="5"/>
  </r>
  <r>
    <s v="AIRWICK"/>
    <s v="Bafoussam"/>
    <s v="6"/>
    <s v="1800"/>
    <s v="BAFOUSSAM"/>
    <s v="AIRWICK"/>
    <n v="10800"/>
    <x v="5"/>
  </r>
  <r>
    <s v="JADIDA"/>
    <s v="Douala"/>
    <s v="12"/>
    <s v="1200"/>
    <s v="DOUALA"/>
    <s v="JADIDA"/>
    <n v="14400"/>
    <x v="6"/>
  </r>
  <r>
    <s v="TANGUI"/>
    <s v="Kribi"/>
    <s v="40"/>
    <s v="400"/>
    <s v="KRIBI"/>
    <s v="TANGUI"/>
    <n v="16000"/>
    <x v="6"/>
  </r>
  <r>
    <s v="DOVE"/>
    <s v="Yaoundé"/>
    <s v="8"/>
    <s v="2500"/>
    <s v="YAOUNDÉ"/>
    <s v="DOVE"/>
    <n v="20000"/>
    <x v="6"/>
  </r>
  <r>
    <s v="LACROIX"/>
    <s v="Douala"/>
    <s v="15"/>
    <s v="850"/>
    <s v="DOUALA"/>
    <s v="LACROIX"/>
    <n v="12750"/>
    <x v="7"/>
  </r>
  <r>
    <s v="VITA"/>
    <s v="Garoua"/>
    <s v="4"/>
    <s v="3500"/>
    <s v="GAROUA"/>
    <s v="VITA"/>
    <n v="14000"/>
    <x v="7"/>
  </r>
  <r>
    <s v="VIMTO"/>
    <s v="Bafoussam"/>
    <s v="36"/>
    <s v="500"/>
    <s v="BAFOUSSAM"/>
    <s v="VIMTO"/>
    <n v="18000"/>
    <x v="7"/>
  </r>
  <r>
    <s v="JADIDA"/>
    <s v="Douala"/>
    <s v="10"/>
    <s v="1100"/>
    <s v="DOUALA"/>
    <s v="JADIDA"/>
    <n v="11000"/>
    <x v="8"/>
  </r>
  <r>
    <s v="NIVEA"/>
    <s v="Yaoundé"/>
    <s v="5"/>
    <n v="3500"/>
    <s v="YAOUNDÉ"/>
    <s v="NIVEA"/>
    <n v="17500"/>
    <x v="8"/>
  </r>
  <r>
    <s v="PAIC"/>
    <s v="Kribi"/>
    <s v="12"/>
    <s v="1100"/>
    <s v="KRIBI"/>
    <s v="PAIC"/>
    <n v="13200"/>
    <x v="8"/>
  </r>
  <r>
    <s v="GUINNESS"/>
    <s v="Garoua"/>
    <s v="24"/>
    <s v="800"/>
    <s v="GAROUA"/>
    <s v="GUINNESS"/>
    <n v="19200"/>
    <x v="9"/>
  </r>
  <r>
    <s v="SOSUCAM"/>
    <s v="Bafoussam"/>
    <s v="15"/>
    <s v="850"/>
    <s v="BAFOUSSAM"/>
    <s v="SOSUCAM"/>
    <n v="12750"/>
    <x v="9"/>
  </r>
  <r>
    <s v="COLGATE"/>
    <s v="Douala"/>
    <s v="20"/>
    <s v="800"/>
    <s v="DOUALA"/>
    <s v="COLGATE"/>
    <n v="16000"/>
    <x v="9"/>
  </r>
  <r>
    <s v="TOP"/>
    <s v="Yaoundé"/>
    <s v="18"/>
    <s v="600"/>
    <s v="YAOUNDÉ"/>
    <s v="TOP"/>
    <n v="10800"/>
    <x v="10"/>
  </r>
  <r>
    <s v="SCOTCH"/>
    <s v="Kribi"/>
    <s v="30"/>
    <s v="300"/>
    <s v="KRIBI"/>
    <s v="SCOTCH"/>
    <n v="9000"/>
    <x v="10"/>
  </r>
  <r>
    <s v="NESCAFE"/>
    <s v="Garoua"/>
    <s v="6"/>
    <s v="3500"/>
    <s v="GAROUA"/>
    <s v="NESCAFE"/>
    <n v="21000"/>
    <x v="10"/>
  </r>
  <r>
    <s v="KADJI"/>
    <s v="Douala"/>
    <s v="20"/>
    <s v="700"/>
    <s v="DOUALA"/>
    <s v="KADJI"/>
    <n v="14000"/>
    <x v="10"/>
  </r>
  <r>
    <s v="LAURENT PERRIER"/>
    <s v="Douala"/>
    <s v="2"/>
    <s v="55000"/>
    <s v="DOUALA"/>
    <s v="LAURENT PERRIER"/>
    <n v="110000"/>
    <x v="11"/>
  </r>
  <r>
    <s v="LABEYRIE"/>
    <s v="Yaoundé"/>
    <s v="4"/>
    <s v="15000"/>
    <s v="YAOUNDÉ"/>
    <s v="LABEYRIE"/>
    <n v="60000"/>
    <x v="11"/>
  </r>
  <r>
    <s v="BVC"/>
    <s v="Kribi"/>
    <s v="12"/>
    <s v="4500"/>
    <s v="KRIBI"/>
    <s v="BVC"/>
    <n v="54000"/>
    <x v="11"/>
  </r>
  <r>
    <s v="DIOR"/>
    <s v="Douala"/>
    <s v="1"/>
    <s v="65000"/>
    <s v="DOUALA"/>
    <s v="DIOR"/>
    <n v="65000"/>
    <x v="11"/>
  </r>
  <r>
    <s v="AGROCAM"/>
    <s v="Yaoundé"/>
    <s v="3"/>
    <s v="12500"/>
    <s v="YAOUNDÉ"/>
    <s v="AGROCAM"/>
    <n v="37500"/>
    <x v="11"/>
  </r>
  <r>
    <s v="SABC"/>
    <s v="Garoua"/>
    <s v="48"/>
    <s v="650"/>
    <s v="GAROUA"/>
    <s v="SABC"/>
    <n v="31200"/>
    <x v="11"/>
  </r>
  <r>
    <s v="ARIEL"/>
    <s v="Bafoussam"/>
    <s v="5"/>
    <s v="7500"/>
    <s v="BAFOUSSAM"/>
    <s v="ARIEL"/>
    <n v="37500"/>
    <x v="0"/>
  </r>
  <r>
    <s v="SGMC"/>
    <s v="Douala"/>
    <s v="20"/>
    <s v="750"/>
    <s v="DOUALA"/>
    <s v="SGMC"/>
    <n v="15000"/>
    <x v="0"/>
  </r>
  <r>
    <s v="RAUCH"/>
    <s v="Yaoundé"/>
    <s v="10"/>
    <s v="1100"/>
    <s v="YAOUNDÉ"/>
    <s v="RAUCH"/>
    <n v="11000"/>
    <x v="0"/>
  </r>
  <r>
    <s v="TOPICREM"/>
    <s v="Garoua"/>
    <s v="3"/>
    <s v="8500"/>
    <s v="GAROUA"/>
    <s v="TOPICREM"/>
    <n v="25500"/>
    <x v="0"/>
  </r>
  <r>
    <s v="AJAX"/>
    <s v="Bafoussam"/>
    <s v="8"/>
    <s v="1400"/>
    <s v="BAFOUSSAM"/>
    <s v="AJAX"/>
    <n v="11200"/>
    <x v="1"/>
  </r>
  <r>
    <s v="NEÏMA"/>
    <s v="Douala"/>
    <s v="15"/>
    <s v="4500"/>
    <s v="DOUALA"/>
    <s v="NEÏMA"/>
    <n v="67500"/>
    <x v="1"/>
  </r>
  <r>
    <s v="SEME"/>
    <s v="Kribi"/>
    <s v="50"/>
    <s v="350"/>
    <s v="KRIBI"/>
    <s v="SEME"/>
    <n v="17500"/>
    <x v="1"/>
  </r>
  <r>
    <s v="BIO"/>
    <s v="Yaoundé"/>
    <s v="20"/>
    <s v="500"/>
    <s v="YAOUNDÉ"/>
    <s v="BIO"/>
    <n v="10000"/>
    <x v="1"/>
  </r>
  <r>
    <s v="AZUR"/>
    <s v="Garoua"/>
    <s v="10"/>
    <s v="1500"/>
    <s v="GAROUA"/>
    <s v="AZUR"/>
    <n v="15000"/>
    <x v="2"/>
  </r>
  <r>
    <s v="LOTUS"/>
    <s v="Bafoussam"/>
    <s v="24"/>
    <s v="400"/>
    <s v="BAFOUSSAM"/>
    <s v="LOTUS"/>
    <n v="9600"/>
    <x v="2"/>
  </r>
  <r>
    <s v="DJINO"/>
    <s v="Douala"/>
    <s v="12"/>
    <s v="600"/>
    <s v="DOUALA"/>
    <s v="DJINO"/>
    <n v="7200"/>
    <x v="2"/>
  </r>
  <r>
    <s v="PANZANI"/>
    <s v="Yaoundé"/>
    <s v="30"/>
    <s v="600"/>
    <s v="YAOUNDÉ"/>
    <s v="PANZANI"/>
    <n v="18000"/>
    <x v="2"/>
  </r>
  <r>
    <s v="COLGATE"/>
    <s v="Kribi"/>
    <s v="15"/>
    <s v="800"/>
    <s v="KRIBI"/>
    <s v="COLGATE"/>
    <n v="12000"/>
    <x v="3"/>
  </r>
  <r>
    <s v="AIRWICK"/>
    <s v="Garoua"/>
    <s v="10"/>
    <s v="1800"/>
    <s v="GAROUA"/>
    <s v="AIRWICK"/>
    <n v="18000"/>
    <x v="3"/>
  </r>
  <r>
    <s v="SABC"/>
    <s v="Bafoussam"/>
    <s v="24"/>
    <s v="700"/>
    <s v="BAFOUSSAM"/>
    <s v="SABC"/>
    <n v="16800"/>
    <x v="3"/>
  </r>
  <r>
    <s v="SOSUCAM"/>
    <s v="Douala"/>
    <s v="40"/>
    <s v="850"/>
    <s v="DOUALA"/>
    <s v="SOSUCAM"/>
    <n v="34000"/>
    <x v="3"/>
  </r>
  <r>
    <s v="CAMAY"/>
    <s v="Yaoundé"/>
    <s v="12"/>
    <s v="500"/>
    <s v="YAOUNDÉ"/>
    <s v="CAMAY"/>
    <n v="6000"/>
    <x v="4"/>
  </r>
  <r>
    <s v="PAIC"/>
    <s v="Garoua"/>
    <s v="6"/>
    <s v="1100"/>
    <s v="GAROUA"/>
    <s v="PAIC"/>
    <n v="6600"/>
    <x v="4"/>
  </r>
  <r>
    <s v="TANGUI"/>
    <s v="Kribi"/>
    <s v="60"/>
    <s v="400"/>
    <s v="KRIBI"/>
    <s v="TANGUI"/>
    <n v="24000"/>
    <x v="4"/>
  </r>
  <r>
    <s v="NEÏMA"/>
    <s v="Douala"/>
    <s v="10"/>
    <s v="4500"/>
    <s v="DOUALA"/>
    <s v="NEÏMA"/>
    <n v="45000"/>
    <x v="5"/>
  </r>
  <r>
    <s v="SABC"/>
    <s v="Yaoundé"/>
    <s v="24"/>
    <s v="600"/>
    <s v="YAOUNDÉ"/>
    <s v="SABC"/>
    <n v="14400"/>
    <x v="5"/>
  </r>
  <r>
    <s v="OMO"/>
    <s v="Garoua"/>
    <s v="15"/>
    <s v="1200"/>
    <s v="GAROUA"/>
    <s v="OMO"/>
    <n v="18000"/>
    <x v="5"/>
  </r>
  <r>
    <s v="NIVEA"/>
    <s v="Bafoussam"/>
    <s v="5"/>
    <s v="3500"/>
    <s v="BAFOUSSAM"/>
    <s v="NIVEA"/>
    <n v="17500"/>
    <x v="5"/>
  </r>
  <r>
    <s v="JADIDA"/>
    <s v="Kribi"/>
    <s v="8"/>
    <s v="1100"/>
    <s v="KRIBI"/>
    <s v="JADIDA"/>
    <n v="8800"/>
    <x v="6"/>
  </r>
  <r>
    <s v="TANGUI"/>
    <s v="Douala"/>
    <s v="40"/>
    <s v="400"/>
    <s v="DOUALA"/>
    <s v="TANGUI"/>
    <n v="16000"/>
    <x v="6"/>
  </r>
  <r>
    <s v="DOVE"/>
    <s v="Yaoundé"/>
    <s v="8"/>
    <s v="2500"/>
    <s v="YAOUNDÉ"/>
    <s v="DOVE"/>
    <n v="20000"/>
    <x v="6"/>
  </r>
  <r>
    <s v="LACROIX"/>
    <s v="Garoua"/>
    <s v="12"/>
    <s v="850"/>
    <s v="GAROUA"/>
    <s v="LACROIX"/>
    <n v="10200"/>
    <x v="7"/>
  </r>
  <r>
    <s v="CASTEL"/>
    <s v="Bafoussam"/>
    <s v="24"/>
    <s v="650"/>
    <s v="BAFOUSSAM"/>
    <s v="CASTEL"/>
    <n v="15600"/>
    <x v="7"/>
  </r>
  <r>
    <s v="SOSUCAM"/>
    <s v="Douala"/>
    <s v="15"/>
    <s v="850"/>
    <s v="DOUALA"/>
    <s v="SOSUCAM"/>
    <n v="12750"/>
    <x v="7"/>
  </r>
  <r>
    <s v="CAMAY"/>
    <s v="Kribi"/>
    <s v="30"/>
    <s v="500"/>
    <s v="KRIBI"/>
    <s v="CAMAY"/>
    <n v="15000"/>
    <x v="8"/>
  </r>
  <r>
    <s v="RAUCH"/>
    <s v="Yaoundé"/>
    <s v="12"/>
    <s v="1200"/>
    <s v="YAOUNDÉ"/>
    <s v="RAUCH"/>
    <n v="14400"/>
    <x v="8"/>
  </r>
  <r>
    <s v="PANZANI"/>
    <s v="Douala"/>
    <s v="50"/>
    <s v="600"/>
    <s v="DOUALA"/>
    <s v="PANZANI"/>
    <n v="30000"/>
    <x v="8"/>
  </r>
  <r>
    <s v="PROPRE"/>
    <s v="Garoua"/>
    <s v="15"/>
    <s v="1200"/>
    <s v="GAROUA"/>
    <s v="PROPRE"/>
    <n v="18000"/>
    <x v="9"/>
  </r>
  <r>
    <s v="TOP"/>
    <s v="Bafoussam"/>
    <s v="20"/>
    <s v="600"/>
    <s v="BAFOUSSAM"/>
    <s v="TOP"/>
    <n v="12000"/>
    <x v="9"/>
  </r>
  <r>
    <s v="TANTY"/>
    <s v="Kribi"/>
    <s v="10"/>
    <s v="950"/>
    <s v="KRIBI"/>
    <s v="TANTY"/>
    <n v="9500"/>
    <x v="9"/>
  </r>
  <r>
    <s v="COLGATE"/>
    <s v="Douala"/>
    <s v="12"/>
    <s v="800"/>
    <s v="DOUALA"/>
    <s v="COLGATE"/>
    <n v="9600"/>
    <x v="10"/>
  </r>
  <r>
    <s v="GUINNESS"/>
    <s v="Yaoundé"/>
    <s v="36"/>
    <s v="650"/>
    <s v="YAOUNDÉ"/>
    <s v="GUINNESS"/>
    <n v="23400"/>
    <x v="10"/>
  </r>
  <r>
    <s v="PAIC"/>
    <s v="Garoua"/>
    <s v="6"/>
    <s v="1100"/>
    <s v="GAROUA"/>
    <s v="PAIC"/>
    <n v="6600"/>
    <x v="10"/>
  </r>
  <r>
    <s v="CIGALE"/>
    <s v="Bafoussam"/>
    <s v="5"/>
    <s v="3500"/>
    <s v="BAFOUSSAM"/>
    <s v="CIGALE"/>
    <n v="17500"/>
    <x v="10"/>
  </r>
  <r>
    <s v="GUINNESS"/>
    <s v="Douala"/>
    <s v="24"/>
    <s v="800"/>
    <s v="DOUALA"/>
    <s v="GUINNESS"/>
    <n v="19200"/>
    <x v="11"/>
  </r>
  <r>
    <s v="CHOCOCAM"/>
    <s v="Yaoundé"/>
    <s v="10"/>
    <s v="1800"/>
    <s v="YAOUNDÉ"/>
    <s v="CHOCOCAM"/>
    <n v="18000"/>
    <x v="11"/>
  </r>
  <r>
    <s v="BVC"/>
    <s v="Garoua"/>
    <s v="6"/>
    <s v="4500"/>
    <s v="GAROUA"/>
    <s v="BVC"/>
    <n v="27000"/>
    <x v="11"/>
  </r>
  <r>
    <s v="AGROCAM"/>
    <s v="Douala"/>
    <s v="2"/>
    <s v="12500"/>
    <s v="DOUALA"/>
    <s v="AGROCAM"/>
    <n v="25000"/>
    <x v="11"/>
  </r>
  <r>
    <s v="DOVE"/>
    <s v="Bafoussam"/>
    <s v="12"/>
    <s v="2200"/>
    <s v="BAFOUSSAM"/>
    <s v="DOVE"/>
    <n v="26400"/>
    <x v="11"/>
  </r>
  <r>
    <s v="ARIEL"/>
    <s v="Kribi"/>
    <s v="4"/>
    <s v="4500"/>
    <s v="KRIBI"/>
    <s v="ARIEL"/>
    <n v="18000"/>
    <x v="0"/>
  </r>
  <r>
    <s v="UCV"/>
    <s v="Yaoundé"/>
    <s v="50"/>
    <s v="250"/>
    <s v="YAOUNDÉ"/>
    <s v="UCV"/>
    <n v="12500"/>
    <x v="0"/>
  </r>
  <r>
    <s v="SEME"/>
    <s v="Douala"/>
    <s v="40"/>
    <s v="350"/>
    <s v="DOUALA"/>
    <s v="SEME"/>
    <n v="14000"/>
    <x v="0"/>
  </r>
  <r>
    <s v="TOPICREM"/>
    <s v="Garoua"/>
    <s v="3"/>
    <s v="8500"/>
    <s v="GAROUA"/>
    <s v="TOPICREM"/>
    <n v="25500"/>
    <x v="0"/>
  </r>
  <r>
    <s v="AJAX"/>
    <s v="Bafoussam"/>
    <s v="8"/>
    <s v="1400"/>
    <s v="BAFOUSSAM"/>
    <s v="AJAX"/>
    <n v="11200"/>
    <x v="1"/>
  </r>
  <r>
    <s v="MAMAN"/>
    <s v="Douala"/>
    <s v="45"/>
    <s v="450"/>
    <s v="DOUALA"/>
    <s v="MAMAN"/>
    <n v="20250"/>
    <x v="1"/>
  </r>
  <r>
    <s v="SABC"/>
    <s v="Yaoundé"/>
    <s v="24"/>
    <s v="500"/>
    <s v="YAOUNDÉ"/>
    <s v="SABC"/>
    <n v="12000"/>
    <x v="1"/>
  </r>
  <r>
    <s v="MIXA"/>
    <s v="Garoua"/>
    <s v="5"/>
    <s v="2200"/>
    <s v="GAROUA"/>
    <s v="MIXA"/>
    <n v="11000"/>
    <x v="2"/>
  </r>
  <r>
    <s v="SCOTCH"/>
    <s v="Douala"/>
    <s v="30"/>
    <s v="300"/>
    <s v="DOUALA"/>
    <s v="SCOTCH"/>
    <n v="9000"/>
    <x v="2"/>
  </r>
  <r>
    <s v="BAMA"/>
    <s v="Kribi"/>
    <s v="4"/>
    <s v="1800"/>
    <s v="KRIBI"/>
    <s v="BAMA"/>
    <n v="7200"/>
    <x v="2"/>
  </r>
  <r>
    <s v="SABC"/>
    <s v="Bafoussam"/>
    <s v="20"/>
    <s v="600"/>
    <s v="BAFOUSSAM"/>
    <s v="SABC"/>
    <n v="12000"/>
    <x v="3"/>
  </r>
  <r>
    <s v="SGMC"/>
    <s v="Yaoundé"/>
    <s v="25"/>
    <s v="750"/>
    <s v="YAOUNDÉ"/>
    <s v="SGMC"/>
    <n v="18750"/>
    <x v="3"/>
  </r>
  <r>
    <s v="BIO"/>
    <s v="Douala"/>
    <s v="15"/>
    <s v="500"/>
    <s v="DOUALA"/>
    <s v="BIO"/>
    <n v="7500"/>
    <x v="3"/>
  </r>
  <r>
    <s v="AIRWICK"/>
    <s v="Garoua"/>
    <s v="10"/>
    <s v="1800"/>
    <s v="GAROUA"/>
    <s v="AIRWICK"/>
    <n v="18000"/>
    <x v="3"/>
  </r>
  <r>
    <s v="TANGUI"/>
    <s v="Kribi"/>
    <s v="60"/>
    <s v="400"/>
    <s v="KRIBI"/>
    <s v="TANGUI"/>
    <n v="24000"/>
    <x v="4"/>
  </r>
  <r>
    <s v="CONNETABLE"/>
    <s v="Douala"/>
    <s v="30"/>
    <s v="600"/>
    <s v="DOUALA"/>
    <s v="CONNETABLE"/>
    <n v="18000"/>
    <x v="4"/>
  </r>
  <r>
    <s v="ORAL-B"/>
    <s v="Yaoundé"/>
    <s v="12"/>
    <s v="1500"/>
    <s v="YAOUNDÉ"/>
    <s v="ORAL-B"/>
    <n v="18000"/>
    <x v="4"/>
  </r>
  <r>
    <s v="OKI"/>
    <s v="Garoua"/>
    <s v="20"/>
    <s v="1200"/>
    <s v="GAROUA"/>
    <s v="OKI"/>
    <n v="24000"/>
    <x v="5"/>
  </r>
  <r>
    <s v="DJINO"/>
    <s v="Bafoussam"/>
    <s v="12"/>
    <s v="600"/>
    <s v="BAFOUSSAM"/>
    <s v="DJINO"/>
    <n v="7200"/>
    <x v="5"/>
  </r>
  <r>
    <s v="NESCAFE"/>
    <s v="Douala"/>
    <s v="6"/>
    <s v="3500"/>
    <s v="DOUALA"/>
    <s v="NESCAFE"/>
    <n v="21000"/>
    <x v="5"/>
  </r>
  <r>
    <s v="DOVE"/>
    <s v="Kribi"/>
    <s v="4"/>
    <s v="2500"/>
    <s v="KRIBI"/>
    <s v="DOVE"/>
    <n v="10000"/>
    <x v="6"/>
  </r>
  <r>
    <s v="DOLAIT"/>
    <s v="Yaoundé"/>
    <s v="20"/>
    <s v="500"/>
    <s v="YAOUNDÉ"/>
    <s v="DOLAIT"/>
    <n v="10000"/>
    <x v="6"/>
  </r>
  <r>
    <s v="LACROIX"/>
    <s v="Douala"/>
    <s v="10"/>
    <s v="850"/>
    <s v="DOUALA"/>
    <s v="LACROIX"/>
    <n v="8500"/>
    <x v="6"/>
  </r>
  <r>
    <s v="AZUR"/>
    <s v="Garoua"/>
    <s v="5"/>
    <s v="1500"/>
    <s v="GAROUA"/>
    <s v="AZUR"/>
    <n v="7500"/>
    <x v="7"/>
  </r>
  <r>
    <s v="SABC"/>
    <s v="Bafoussam"/>
    <s v="36"/>
    <s v="700"/>
    <s v="BAFOUSSAM"/>
    <s v="SABC"/>
    <n v="25200"/>
    <x v="7"/>
  </r>
  <r>
    <s v="CIGALE"/>
    <s v="Douala"/>
    <s v="10"/>
    <s v="3500"/>
    <s v="DOUALA"/>
    <s v="CIGALE"/>
    <n v="35000"/>
    <x v="7"/>
  </r>
  <r>
    <s v="CAMAY"/>
    <s v="Yaoundé"/>
    <s v="12"/>
    <s v="500"/>
    <s v="YAOUNDÉ"/>
    <s v="CAMAY"/>
    <n v="6000"/>
    <x v="8"/>
  </r>
  <r>
    <s v="KADJI"/>
    <s v="Garoua"/>
    <s v="20"/>
    <s v="700"/>
    <s v="GAROUA"/>
    <s v="KADJI"/>
    <n v="14000"/>
    <x v="8"/>
  </r>
  <r>
    <s v="AJAX"/>
    <s v="Douala"/>
    <s v="10"/>
    <s v="1400"/>
    <s v="DOUALA"/>
    <s v="AJAX"/>
    <n v="14000"/>
    <x v="8"/>
  </r>
  <r>
    <s v="TARTINA"/>
    <s v="Kribi"/>
    <s v="6"/>
    <s v="2500"/>
    <s v="KRIBI"/>
    <s v="TARTINA"/>
    <n v="15000"/>
    <x v="9"/>
  </r>
  <r>
    <s v="CASTEL"/>
    <s v="Yaoundé"/>
    <s v="24"/>
    <s v="650"/>
    <s v="YAOUNDÉ"/>
    <s v="CASTEL"/>
    <n v="15600"/>
    <x v="9"/>
  </r>
  <r>
    <s v="PANZANI"/>
    <s v="Douala"/>
    <s v="30"/>
    <s v="600"/>
    <s v="DOUALA"/>
    <s v="PANZANI"/>
    <n v="18000"/>
    <x v="9"/>
  </r>
  <r>
    <s v="NIVEA"/>
    <s v="Garoua"/>
    <s v="8"/>
    <s v="3200"/>
    <s v="GAROUA"/>
    <s v="NIVEA"/>
    <n v="25600"/>
    <x v="10"/>
  </r>
  <r>
    <s v="SABC"/>
    <s v="Bafoussam"/>
    <s v="30"/>
    <s v="600"/>
    <s v="BAFOUSSAM"/>
    <s v="SABC"/>
    <n v="18000"/>
    <x v="10"/>
  </r>
  <r>
    <s v="PROPRE"/>
    <s v="Douala"/>
    <s v="20"/>
    <s v="1200"/>
    <s v="DOUALA"/>
    <s v="PROPRE"/>
    <n v="24000"/>
    <x v="10"/>
  </r>
  <r>
    <s v="JADIDA"/>
    <s v="Yaoundé"/>
    <s v="12"/>
    <s v="1200"/>
    <s v="YAOUNDÉ"/>
    <s v="JADIDA"/>
    <n v="14400"/>
    <x v="11"/>
  </r>
  <r>
    <s v="TOP"/>
    <s v="Garoua"/>
    <s v="15"/>
    <s v="600"/>
    <s v="GAROUA"/>
    <s v="TOP"/>
    <n v="9000"/>
    <x v="11"/>
  </r>
  <r>
    <s v="CHANEL"/>
    <s v="Douala"/>
    <s v="1"/>
    <s v="75000"/>
    <s v="DOUALA"/>
    <s v="CHANEL"/>
    <n v="75000"/>
    <x v="11"/>
  </r>
  <r>
    <s v="SOSUCAM"/>
    <s v="Kribi"/>
    <s v="25"/>
    <s v="850"/>
    <s v="KRIBI"/>
    <s v="SOSUCAM"/>
    <n v="21250"/>
    <x v="11"/>
  </r>
  <r>
    <s v="CHIVAS"/>
    <s v="Yaoundé"/>
    <s v="2"/>
    <s v="35000"/>
    <s v="YAOUNDÉ"/>
    <s v="CHIVAS"/>
    <n v="70000"/>
    <x v="11"/>
  </r>
  <r>
    <s v="MADAR"/>
    <s v="Douala"/>
    <s v="5"/>
    <s v="1200"/>
    <s v="DOUALA"/>
    <s v="MADAR"/>
    <n v="6000"/>
    <x v="11"/>
  </r>
  <r>
    <s v="SGMC"/>
    <s v="Garoua"/>
    <s v="20"/>
    <s v="750"/>
    <s v="GAROUA"/>
    <s v="SGMC"/>
    <n v="15000"/>
    <x v="11"/>
  </r>
  <r>
    <s v="SUPERMONT"/>
    <s v="Bafoussam"/>
    <s v="50"/>
    <s v="250"/>
    <s v="BAFOUSSAM"/>
    <s v="SUPERMONT"/>
    <n v="12500"/>
    <x v="0"/>
  </r>
  <r>
    <s v="ORAL-B"/>
    <s v="Douala"/>
    <s v="12"/>
    <s v="1500"/>
    <s v="DOUALA"/>
    <s v="ORAL-B"/>
    <n v="18000"/>
    <x v="0"/>
  </r>
  <r>
    <s v="VITA"/>
    <s v="Yaoundé"/>
    <s v="4"/>
    <s v="3500"/>
    <s v="YAOUNDÉ"/>
    <s v="VITA"/>
    <n v="14000"/>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3">
  <r>
    <s v="S-001"/>
    <s v="05/01/2026"/>
    <x v="0"/>
    <s v="Riz Parfumé 5kg"/>
    <s v="Neïma"/>
    <s v="Douala"/>
    <s v="10"/>
    <s v="4500"/>
    <s v="DOUALA"/>
    <s v="NEÏMA"/>
    <n v="45000"/>
    <s v="January"/>
  </r>
  <r>
    <s v="S-002"/>
    <s v="12/01/2026"/>
    <x v="1"/>
    <s v="Savon ménage"/>
    <s v="OMO"/>
    <s v="Yaoundé"/>
    <s v="5"/>
    <s v="1200"/>
    <s v="YAOUNDÉ"/>
    <s v="OMO"/>
    <n v="6000"/>
    <s v="January"/>
  </r>
  <r>
    <s v="S-003"/>
    <s v="15/01/2026"/>
    <x v="2"/>
    <s v="Eau Minérale 1.5L"/>
    <s v="TANGUI"/>
    <s v="Garoua"/>
    <s v="20"/>
    <s v="400"/>
    <s v="GAROUA"/>
    <s v="TANGUI"/>
    <n v="8000"/>
    <s v="January"/>
  </r>
  <r>
    <s v="S-004"/>
    <s v="22/01/2026"/>
    <x v="3"/>
    <s v="Lait de toilette"/>
    <s v="NIVEA"/>
    <s v="Bafoussam"/>
    <s v="2"/>
    <s v="3500"/>
    <s v="BAFOUSSAM"/>
    <s v="NIVEA"/>
    <n v="7000"/>
    <s v="January"/>
  </r>
  <r>
    <s v="S-005"/>
    <s v="02/02/2026"/>
    <x v="2"/>
    <s v="Jus de fruits"/>
    <s v="TOP"/>
    <s v="Douala"/>
    <s v="15"/>
    <s v="600"/>
    <s v="DOUALA"/>
    <s v="TOP"/>
    <n v="9000"/>
    <s v="February"/>
  </r>
  <r>
    <s v="S-006"/>
    <s v="14/02/2026"/>
    <x v="0"/>
    <s v="Huile Végétale"/>
    <s v="JADIDA"/>
    <s v="Yaoundé"/>
    <s v="8"/>
    <s v="1100"/>
    <s v="YAOUNDÉ"/>
    <s v="JADIDA"/>
    <n v="8800"/>
    <s v="February"/>
  </r>
  <r>
    <s v="S-007"/>
    <s v="25/02/2026"/>
    <x v="1"/>
    <s v="Javel 1L"/>
    <s v="LACROIX"/>
    <s v="Kribi"/>
    <s v="4"/>
    <s v="850"/>
    <s v="KRIBI"/>
    <s v="LACROIX"/>
    <n v="3400"/>
    <s v="February"/>
  </r>
  <r>
    <s v="S-008"/>
    <s v="05/03/2026"/>
    <x v="2"/>
    <s v="Bière Blonde"/>
    <s v="CASTEL"/>
    <s v="Douala"/>
    <s v="24"/>
    <s v="650"/>
    <s v="DOUALA"/>
    <s v="CASTEL"/>
    <n v="15600"/>
    <s v="March"/>
  </r>
  <r>
    <s v="S-009"/>
    <s v="15/03/2026"/>
    <x v="3"/>
    <s v="Savon Toilette"/>
    <s v="CAMAY"/>
    <s v="Garoua"/>
    <s v="12"/>
    <s v="500"/>
    <s v="GAROUA"/>
    <s v="CAMAY"/>
    <n v="6000"/>
    <s v="March"/>
  </r>
  <r>
    <s v="S-010"/>
    <s v="30/03/2026"/>
    <x v="0"/>
    <s v="Pâtes 500g"/>
    <s v="PANZANI"/>
    <s v="Yaoundé"/>
    <s v="20"/>
    <s v="600"/>
    <s v="YAOUNDÉ"/>
    <s v="PANZANI"/>
    <n v="12000"/>
    <s v="March"/>
  </r>
  <r>
    <s v="S-011"/>
    <s v="04/04/2026"/>
    <x v="2"/>
    <s v="Vin Rouge"/>
    <s v="BVC"/>
    <s v="Kribi"/>
    <s v="3"/>
    <s v="4500"/>
    <s v="KRIBI"/>
    <s v="BVC"/>
    <n v="13500"/>
    <s v="April"/>
  </r>
  <r>
    <s v="S-012"/>
    <s v="12/04/2026"/>
    <x v="1"/>
    <s v="Liquide Vaisselle"/>
    <s v="PAIC"/>
    <s v="Bafoussam"/>
    <s v="6"/>
    <s v="1100"/>
    <s v="BAFOUSSAM"/>
    <s v="PAIC"/>
    <n v="6600"/>
    <s v="April"/>
  </r>
  <r>
    <s v="S-013"/>
    <s v="25/04/2026"/>
    <x v="0"/>
    <s v="Sucre en poudre"/>
    <s v="SOSUCAM"/>
    <s v="Douala"/>
    <s v="15"/>
    <s v="850"/>
    <s v="DOUALA"/>
    <s v="SOSUCAM"/>
    <n v="12750"/>
    <s v="April"/>
  </r>
  <r>
    <s v="S-014"/>
    <s v="02/05/2026"/>
    <x v="2"/>
    <s v="Eau Vive"/>
    <s v="SEME"/>
    <s v="Garoua"/>
    <s v="40"/>
    <s v="350"/>
    <s v="GAROUA"/>
    <s v="SEME"/>
    <n v="14000"/>
    <s v="May"/>
  </r>
  <r>
    <s v="S-015"/>
    <s v="14/05/2026"/>
    <x v="3"/>
    <s v="Shampooing"/>
    <s v="DOVE"/>
    <s v="Yaoundé"/>
    <s v="4"/>
    <s v="2500"/>
    <s v="YAOUNDÉ"/>
    <s v="DOVE"/>
    <n v="10000"/>
    <s v="May"/>
  </r>
  <r>
    <s v="S-016"/>
    <s v="28/05/2026"/>
    <x v="1"/>
    <s v="Désodorisant"/>
    <s v="AIRWICK"/>
    <s v="Douala"/>
    <s v="10"/>
    <s v="1800"/>
    <s v="DOUALA"/>
    <s v="AIRWICK"/>
    <n v="18000"/>
    <s v="May"/>
  </r>
  <r>
    <s v="S-017"/>
    <s v="05/06/2026"/>
    <x v="0"/>
    <s v="Sardines"/>
    <s v="CONNETABLE"/>
    <s v="Kribi"/>
    <s v="30"/>
    <s v="600"/>
    <s v="KRIBI"/>
    <s v="CONNETABLE"/>
    <n v="18000"/>
    <s v="June"/>
  </r>
  <r>
    <s v="S-018"/>
    <s v="15/06/2026"/>
    <x v="2"/>
    <s v="Soda"/>
    <s v="DJINO"/>
    <s v="Bafoussam"/>
    <s v="12"/>
    <s v="600"/>
    <s v="BAFOUSSAM"/>
    <s v="DJINO"/>
    <n v="7200"/>
    <s v="June"/>
  </r>
  <r>
    <s v="S-019"/>
    <s v="02/07/2026"/>
    <x v="0"/>
    <s v="Farine Blé"/>
    <s v="SGMC"/>
    <s v="Douala"/>
    <s v="25"/>
    <s v="750"/>
    <s v="DOUALA"/>
    <s v="SGMC"/>
    <n v="18750"/>
    <s v="July"/>
  </r>
  <r>
    <s v="S-020"/>
    <s v="14/07/2026"/>
    <x v="1"/>
    <s v="Lessive Poudre"/>
    <s v="ARIEL"/>
    <s v="Yaoundé"/>
    <s v="3"/>
    <s v="4500"/>
    <s v="YAOUNDÉ"/>
    <s v="ARIEL"/>
    <n v="13500"/>
    <s v="July"/>
  </r>
  <r>
    <s v="S-021"/>
    <s v="22/07/2026"/>
    <x v="3"/>
    <s v="Dentifrice"/>
    <s v="COLGATE"/>
    <s v="Garoua"/>
    <s v="10"/>
    <s v="800"/>
    <s v="GAROUA"/>
    <s v="COLGATE"/>
    <n v="8000"/>
    <s v="July"/>
  </r>
  <r>
    <s v="S-022"/>
    <s v="05/08/2026"/>
    <x v="2"/>
    <s v="Yaourt à boire"/>
    <s v="DOLAIT"/>
    <s v="Douala"/>
    <s v="20"/>
    <s v="500"/>
    <s v="DOUALA"/>
    <s v="DOLAIT"/>
    <n v="10000"/>
    <s v="August"/>
  </r>
  <r>
    <s v="S-023"/>
    <s v="12/08/2026"/>
    <x v="0"/>
    <s v="Sel de cuisine"/>
    <s v="UCV"/>
    <s v="Yaoundé"/>
    <s v="50"/>
    <s v="250"/>
    <s v="YAOUNDÉ"/>
    <s v="UCV"/>
    <n v="12500"/>
    <s v="August"/>
  </r>
  <r>
    <s v="S-024"/>
    <s v="25/08/2026"/>
    <x v="1"/>
    <s v="Éponge vaisselle"/>
    <s v="SCOTCH"/>
    <s v="Kribi"/>
    <s v="12"/>
    <s v="300"/>
    <s v="KRIBI"/>
    <s v="SCOTCH"/>
    <n v="3600"/>
    <s v="August"/>
  </r>
  <r>
    <s v="S-025"/>
    <s v="02/09/2026"/>
    <x v="2"/>
    <s v="Canette Soda"/>
    <s v="VIMTO"/>
    <s v="Bafoussam"/>
    <s v="24"/>
    <s v="500"/>
    <s v="BAFOUSSAM"/>
    <s v="VIMTO"/>
    <n v="12000"/>
    <s v="September"/>
  </r>
  <r>
    <s v="S-026"/>
    <s v="14/09/2026"/>
    <x v="3"/>
    <s v="Crème mains"/>
    <s v="MIXA"/>
    <s v="Douala"/>
    <s v="5"/>
    <s v="2200"/>
    <s v="DOUALA"/>
    <s v="MIXA"/>
    <n v="11000"/>
    <s v="September"/>
  </r>
  <r>
    <s v="S-027"/>
    <s v="28/09/2026"/>
    <x v="0"/>
    <s v="Mayonnaise"/>
    <s v="BAMA"/>
    <s v="Yaoundé"/>
    <s v="4"/>
    <s v="1800"/>
    <s v="YAOUNDÉ"/>
    <s v="BAMA"/>
    <n v="7200"/>
    <s v="September"/>
  </r>
  <r>
    <s v="S-028"/>
    <s v="05/10/2026"/>
    <x v="2"/>
    <s v="Whisky"/>
    <s v="BLACK LABEL"/>
    <s v="Douala"/>
    <s v="2"/>
    <s v="25000"/>
    <s v="DOUALA"/>
    <s v="BLACK LABEL"/>
    <n v="50000"/>
    <s v="October"/>
  </r>
  <r>
    <s v="S-029"/>
    <s v="12/10/2026"/>
    <x v="1"/>
    <s v="Nettoyant sol"/>
    <s v="AJAX"/>
    <s v="Garoua"/>
    <s v="8"/>
    <s v="1400"/>
    <s v="GAROUA"/>
    <s v="AJAX"/>
    <n v="11200"/>
    <s v="October"/>
  </r>
  <r>
    <s v="S-030"/>
    <s v="25/10/2026"/>
    <x v="0"/>
    <s v="Chocolat tartiner"/>
    <s v="TARTINA"/>
    <s v="Kribi"/>
    <s v="6"/>
    <s v="2500"/>
    <s v="KRIBI"/>
    <s v="TARTINA"/>
    <n v="15000"/>
    <s v="October"/>
  </r>
  <r>
    <s v="S-031"/>
    <s v="02/11/2026"/>
    <x v="3"/>
    <s v="Déodorant"/>
    <s v="AXE"/>
    <s v="Bafoussam"/>
    <s v="10"/>
    <s v="2800"/>
    <s v="BAFOUSSAM"/>
    <s v="AXE"/>
    <n v="28000"/>
    <s v="November"/>
  </r>
  <r>
    <s v="S-032"/>
    <s v="14/11/2026"/>
    <x v="2"/>
    <s v="Limonade"/>
    <s v="KADJI"/>
    <s v="Yaoundé"/>
    <s v="15"/>
    <s v="700"/>
    <s v="YAOUNDÉ"/>
    <s v="KADJI"/>
    <n v="10500"/>
    <s v="November"/>
  </r>
  <r>
    <s v="S-033"/>
    <s v="28/11/2026"/>
    <x v="0"/>
    <s v="Conserve Tomate"/>
    <s v="REGINA"/>
    <s v="Douala"/>
    <s v="12"/>
    <s v="450"/>
    <s v="DOUALA"/>
    <s v="REGINA"/>
    <n v="5400"/>
    <s v="November"/>
  </r>
  <r>
    <s v="S-034"/>
    <s v="05/12/2026"/>
    <x v="1"/>
    <s v="Sac poubelle"/>
    <s v="PROPRE"/>
    <s v="Garoua"/>
    <s v="20"/>
    <s v="1200"/>
    <s v="GAROUA"/>
    <s v="PROPRE"/>
    <n v="24000"/>
    <s v="December"/>
  </r>
  <r>
    <s v="S-035"/>
    <s v="15/12/2026"/>
    <x v="2"/>
    <s v="Champagne"/>
    <s v="MOET"/>
    <s v="Douala"/>
    <s v="1"/>
    <s v="45000"/>
    <s v="DOUALA"/>
    <s v="MOET"/>
    <n v="45000"/>
    <s v="December"/>
  </r>
  <r>
    <s v="S-036"/>
    <s v="20/12/2026"/>
    <x v="0"/>
    <s v="Poulet surgelé"/>
    <s v="AGROCAM"/>
    <s v="Yaoundé"/>
    <s v="5"/>
    <s v="3500"/>
    <s v="YAOUNDÉ"/>
    <s v="AGROCAM"/>
    <n v="17500"/>
    <s v="December"/>
  </r>
  <r>
    <s v="S-037"/>
    <s v="24/12/2026"/>
    <x v="3"/>
    <s v="Coffret Parfum"/>
    <s v="DIOR"/>
    <s v="Kribi"/>
    <s v="2"/>
    <s v="55000"/>
    <s v="KRIBI"/>
    <s v="DIOR"/>
    <n v="110000"/>
    <s v="December"/>
  </r>
  <r>
    <s v="S-038"/>
    <s v="30/12/2026"/>
    <x v="2"/>
    <s v="Bière Brune"/>
    <s v="GUINNESS"/>
    <s v="Douala"/>
    <s v="12"/>
    <s v="800"/>
    <s v="DOUALA"/>
    <s v="GUINNESS"/>
    <n v="9600"/>
    <s v="December"/>
  </r>
  <r>
    <s v="S-039"/>
    <s v="05/01/2026"/>
    <x v="2"/>
    <s v="Top Pamplemousse"/>
    <s v="SABC"/>
    <s v="Douala"/>
    <s v="20"/>
    <s v="600"/>
    <s v="DOUALA"/>
    <s v="SABC"/>
    <n v="12000"/>
    <s v="January"/>
  </r>
  <r>
    <s v="S-040"/>
    <s v="10/01/2026"/>
    <x v="0"/>
    <s v="Huile de Palme"/>
    <s v="AZUR"/>
    <s v="Yaoundé"/>
    <s v="5"/>
    <s v="1500"/>
    <s v="YAOUNDÉ"/>
    <s v="AZUR"/>
    <n v="7500"/>
    <s v="January"/>
  </r>
  <r>
    <s v="S-041"/>
    <s v="15/01/2026"/>
    <x v="1"/>
    <s v="Eau de Javel"/>
    <s v="LACROIX"/>
    <s v="Garoua"/>
    <s v="12"/>
    <s v="850"/>
    <s v="GAROUA"/>
    <s v="LACROIX"/>
    <n v="10200"/>
    <s v="January"/>
  </r>
  <r>
    <s v="S-042"/>
    <s v="20/01/2026"/>
    <x v="3"/>
    <s v="Savon Noir"/>
    <s v="BIO"/>
    <s v="Bafoussam"/>
    <s v="15"/>
    <s v="500"/>
    <s v="BAFOUSSAM"/>
    <s v="BIO"/>
    <n v="7500"/>
    <s v="January"/>
  </r>
  <r>
    <s v="S-043"/>
    <s v="25/01/2026"/>
    <x v="2"/>
    <s v="Malta Quiness"/>
    <s v="GUINNESS"/>
    <s v="Douala"/>
    <s v="24"/>
    <s v="650"/>
    <s v="DOUALA"/>
    <s v="GUINNESS"/>
    <n v="15600"/>
    <s v="January"/>
  </r>
  <r>
    <s v="S-044"/>
    <s v="02/02/2026"/>
    <x v="0"/>
    <s v="Spaghetti"/>
    <s v="MAMAN"/>
    <s v="Kribi"/>
    <s v="40"/>
    <s v="450"/>
    <s v="KRIBI"/>
    <s v="MAMAN"/>
    <n v="18000"/>
    <s v="February"/>
  </r>
  <r>
    <s v="S-045"/>
    <s v="10/02/2026"/>
    <x v="2"/>
    <s v="Vimto Canette"/>
    <s v="SABC"/>
    <s v="Yaoundé"/>
    <s v="30"/>
    <s v="500"/>
    <s v="YAOUNDÉ"/>
    <s v="SABC"/>
    <n v="15000"/>
    <s v="February"/>
  </r>
  <r>
    <s v="S-046"/>
    <s v="14/02/2026"/>
    <x v="3"/>
    <s v="Parfum de luxe"/>
    <s v="CHANEL"/>
    <s v="Douala"/>
    <s v="1"/>
    <s v="75000"/>
    <s v="DOUALA"/>
    <s v="CHANEL"/>
    <n v="75000"/>
    <s v="February"/>
  </r>
  <r>
    <s v="S-047"/>
    <s v="20/02/2026"/>
    <x v="1"/>
    <s v="Détergent Poudre"/>
    <s v="MADAR"/>
    <s v="Garoua"/>
    <s v="10"/>
    <s v="1200"/>
    <s v="GAROUA"/>
    <s v="MADAR"/>
    <n v="12000"/>
    <s v="February"/>
  </r>
  <r>
    <s v="S-048"/>
    <s v="28/02/2026"/>
    <x v="0"/>
    <s v="Cube Crevette"/>
    <s v="MAGGI"/>
    <s v="Bafoussam"/>
    <s v="100"/>
    <s v="25"/>
    <s v="BAFOUSSAM"/>
    <s v="MAGGI"/>
    <n v="2500"/>
    <s v="February"/>
  </r>
  <r>
    <s v="S-049"/>
    <s v="05/03/2026"/>
    <x v="2"/>
    <s v="Eau Minérale 0.5L"/>
    <s v="SUPERMONT"/>
    <s v="Kribi"/>
    <s v="50"/>
    <s v="250"/>
    <s v="KRIBI"/>
    <s v="SUPERMONT"/>
    <n v="12500"/>
    <s v="March"/>
  </r>
  <r>
    <s v="S-050"/>
    <s v="12/03/2026"/>
    <x v="0"/>
    <s v="Farine de Maïs"/>
    <s v="TANTY"/>
    <s v="Douala"/>
    <s v="15"/>
    <s v="950"/>
    <s v="DOUALA"/>
    <s v="TANTY"/>
    <n v="14250"/>
    <s v="March"/>
  </r>
  <r>
    <s v="S-051"/>
    <s v="20/03/2026"/>
    <x v="2"/>
    <s v="Bière Isenbeck"/>
    <s v="SABC"/>
    <s v="Yaoundé"/>
    <s v="12"/>
    <s v="700"/>
    <s v="YAOUNDÉ"/>
    <s v="SABC"/>
    <n v="8400"/>
    <s v="March"/>
  </r>
  <r>
    <s v="S-052"/>
    <s v="28/03/2026"/>
    <x v="3"/>
    <s v="Lait de Corps"/>
    <s v="TOPICREM"/>
    <s v="Garoua"/>
    <s v="3"/>
    <s v="8500"/>
    <s v="GAROUA"/>
    <s v="TOPICREM"/>
    <n v="25500"/>
    <s v="March"/>
  </r>
  <r>
    <s v="S-053"/>
    <s v="02/04/2026"/>
    <x v="1"/>
    <s v="Nettoyant Vitres"/>
    <s v="AJAX"/>
    <s v="Douala"/>
    <s v="6"/>
    <s v="1400"/>
    <s v="DOUALA"/>
    <s v="AJAX"/>
    <n v="8400"/>
    <s v="April"/>
  </r>
  <r>
    <s v="S-054"/>
    <s v="10/04/2026"/>
    <x v="0"/>
    <s v="Café en poudre"/>
    <s v="NESCAFE"/>
    <s v="Bafoussam"/>
    <s v="8"/>
    <s v="3500"/>
    <s v="BAFOUSSAM"/>
    <s v="NESCAFE"/>
    <n v="28000"/>
    <s v="April"/>
  </r>
  <r>
    <s v="S-055"/>
    <s v="15/04/2026"/>
    <x v="2"/>
    <s v="Jus d'Orange"/>
    <s v="RAUCH"/>
    <s v="Kribi"/>
    <s v="10"/>
    <s v="1200"/>
    <s v="KRIBI"/>
    <s v="RAUCH"/>
    <n v="12000"/>
    <s v="April"/>
  </r>
  <r>
    <s v="S-056"/>
    <s v="22/04/2026"/>
    <x v="0"/>
    <s v="Lait en poudre"/>
    <s v="NIDO"/>
    <s v="Yaoundé"/>
    <s v="5"/>
    <s v="6500"/>
    <s v="YAOUNDÉ"/>
    <s v="NIDO"/>
    <n v="32500"/>
    <s v="April"/>
  </r>
  <r>
    <s v="S-057"/>
    <s v="30/04/2026"/>
    <x v="1"/>
    <s v="Papier Toilette"/>
    <s v="LOTUS"/>
    <s v="Douala"/>
    <s v="24"/>
    <s v="400"/>
    <s v="DOUALA"/>
    <s v="LOTUS"/>
    <n v="9600"/>
    <s v="April"/>
  </r>
  <r>
    <s v="S-058"/>
    <s v="05/05/2026"/>
    <x v="2"/>
    <s v="Coca Cola 1.5L"/>
    <s v="SABC"/>
    <s v="Garoua"/>
    <s v="15"/>
    <s v="1100"/>
    <s v="GAROUA"/>
    <s v="SABC"/>
    <n v="16500"/>
    <s v="May"/>
  </r>
  <r>
    <s v="S-059"/>
    <s v="12/05/2026"/>
    <x v="3"/>
    <s v="Dentifrice Max"/>
    <s v="ORAL-B"/>
    <s v="Bafoussam"/>
    <s v="12"/>
    <s v="1500"/>
    <s v="BAFOUSSAM"/>
    <s v="ORAL-B"/>
    <n v="18000"/>
    <s v="May"/>
  </r>
  <r>
    <s v="S-060"/>
    <s v="20/05/2026"/>
    <x v="0"/>
    <s v="Thé infusé"/>
    <s v="LIPTON"/>
    <s v="Kribi"/>
    <s v="20"/>
    <s v="1200"/>
    <s v="KRIBI"/>
    <s v="LIPTON"/>
    <n v="24000"/>
    <s v="May"/>
  </r>
  <r>
    <s v="S-061"/>
    <s v="02/06/2026"/>
    <x v="2"/>
    <s v="Jus d'Ananas"/>
    <s v="RAUCH"/>
    <s v="Douala"/>
    <s v="12"/>
    <s v="1100"/>
    <s v="DOUALA"/>
    <s v="RAUCH"/>
    <n v="13200"/>
    <s v="June"/>
  </r>
  <r>
    <s v="S-062"/>
    <s v="10/06/2026"/>
    <x v="0"/>
    <s v="Arôme Liquide"/>
    <s v="MAGGI"/>
    <s v="Yaoundé"/>
    <s v="25"/>
    <s v="650"/>
    <s v="YAOUNDÉ"/>
    <s v="MAGGI"/>
    <n v="16250"/>
    <s v="June"/>
  </r>
  <r>
    <s v="S-063"/>
    <s v="15/06/2026"/>
    <x v="1"/>
    <s v="Désodorisant"/>
    <s v="AIRWICK"/>
    <s v="Garoua"/>
    <s v="6"/>
    <s v="2200"/>
    <s v="GAROUA"/>
    <s v="AIRWICK"/>
    <n v="13200"/>
    <s v="June"/>
  </r>
  <r>
    <s v="S-064"/>
    <s v="22/06/2026"/>
    <x v="3"/>
    <s v="Crème Solaire"/>
    <s v="NIVEA"/>
    <s v="Kribi"/>
    <s v="4"/>
    <s v="4500"/>
    <s v="KRIBI"/>
    <s v="NIVEA"/>
    <n v="18000"/>
    <s v="June"/>
  </r>
  <r>
    <s v="S-065"/>
    <s v="02/07/2026"/>
    <x v="2"/>
    <s v="Eau Gazeuse"/>
    <s v="SABC"/>
    <s v="Bafoussam"/>
    <s v="30"/>
    <s v="600"/>
    <s v="BAFOUSSAM"/>
    <s v="SABC"/>
    <n v="18000"/>
    <s v="July"/>
  </r>
  <r>
    <s v="S-066"/>
    <s v="12/07/2026"/>
    <x v="0"/>
    <s v="Conserve Petit Pois"/>
    <s v="CASSEGRAIN"/>
    <s v="Douala"/>
    <s v="15"/>
    <s v="1400"/>
    <s v="DOUALA"/>
    <s v="CASSEGRAIN"/>
    <n v="21000"/>
    <s v="July"/>
  </r>
  <r>
    <s v="S-067"/>
    <s v="20/07/2026"/>
    <x v="1"/>
    <s v="Lave Glace"/>
    <s v="TOTAL"/>
    <s v="Yaoundé"/>
    <s v="5"/>
    <s v="3500"/>
    <s v="YAOUNDÉ"/>
    <s v="TOTAL"/>
    <n v="17500"/>
    <s v="July"/>
  </r>
  <r>
    <s v="S-068"/>
    <s v="28/07/2026"/>
    <x v="3"/>
    <s v="Shampooing Doux"/>
    <s v="DOVE"/>
    <s v="Garoua"/>
    <s v="10"/>
    <s v="2800"/>
    <s v="GAROUA"/>
    <s v="DOVE"/>
    <n v="28000"/>
    <s v="July"/>
  </r>
  <r>
    <s v="S-069"/>
    <s v="05/08/2026"/>
    <x v="2"/>
    <s v="Bière Sans Alcool"/>
    <s v="SABC"/>
    <s v="Douala"/>
    <s v="48"/>
    <s v="600"/>
    <s v="DOUALA"/>
    <s v="SABC"/>
    <n v="28800"/>
    <s v="August"/>
  </r>
  <r>
    <s v="S-070"/>
    <s v="14/08/2026"/>
    <x v="0"/>
    <s v="Chocolat en Poudre"/>
    <s v="MILO"/>
    <s v="Bafoussam"/>
    <s v="8"/>
    <s v="4200"/>
    <s v="BAFOUSSAM"/>
    <s v="MILO"/>
    <n v="33600"/>
    <s v="August"/>
  </r>
  <r>
    <s v="S-071"/>
    <s v="25/08/2026"/>
    <x v="1"/>
    <s v="Essuie-tout"/>
    <s v="OKI"/>
    <s v="Kribi"/>
    <s v="20"/>
    <s v="650"/>
    <s v="KRIBI"/>
    <s v="OKI"/>
    <n v="13000"/>
    <s v="August"/>
  </r>
  <r>
    <s v="S-072"/>
    <s v="02/09/2026"/>
    <x v="2"/>
    <s v="Sirop de Grenadine"/>
    <s v="TEISSEIRE"/>
    <s v="Yaoundé"/>
    <s v="6"/>
    <s v="3800"/>
    <s v="YAOUNDÉ"/>
    <s v="TEISSEIRE"/>
    <n v="22800"/>
    <s v="September"/>
  </r>
  <r>
    <s v="S-073"/>
    <s v="12/09/2026"/>
    <x v="0"/>
    <s v="Biscuits Secs"/>
    <s v="LU"/>
    <s v="Douala"/>
    <s v="50"/>
    <s v="350"/>
    <s v="DOUALA"/>
    <s v="LU"/>
    <n v="17500"/>
    <s v="September"/>
  </r>
  <r>
    <s v="S-074"/>
    <s v="20/09/2026"/>
    <x v="3"/>
    <s v="Vernis à Ongles"/>
    <s v="MAYBELLINE"/>
    <s v="Garoua"/>
    <s v="15"/>
    <s v="1200"/>
    <s v="GAROUA"/>
    <s v="MAYBELLINE"/>
    <n v="18000"/>
    <s v="September"/>
  </r>
  <r>
    <s v="S-075"/>
    <s v="30/09/2026"/>
    <x v="1"/>
    <s v="Insecticide"/>
    <s v="BAYGON"/>
    <s v="Bafoussam"/>
    <s v="12"/>
    <s v="2800"/>
    <s v="BAFOUSSAM"/>
    <s v="BAYGON"/>
    <n v="33600"/>
    <s v="September"/>
  </r>
  <r>
    <s v="S-076"/>
    <s v="05/10/2026"/>
    <x v="2"/>
    <s v="Lait de Coco"/>
    <s v="VITACOCO"/>
    <s v="Kribi"/>
    <s v="10"/>
    <s v="1500"/>
    <s v="KRIBI"/>
    <s v="VITACOCO"/>
    <n v="15000"/>
    <s v="October"/>
  </r>
  <r>
    <s v="S-077"/>
    <s v="14/10/2026"/>
    <x v="0"/>
    <s v="Pâte à tartiner"/>
    <s v="CHOCOCAM"/>
    <s v="Douala"/>
    <s v="20"/>
    <s v="1800"/>
    <s v="DOUALA"/>
    <s v="CHOCOCAM"/>
    <n v="36000"/>
    <s v="October"/>
  </r>
  <r>
    <s v="S-078"/>
    <s v="25/10/2026"/>
    <x v="1"/>
    <s v="Adoucissant"/>
    <s v="SOUPLINE"/>
    <s v="Yaoundé"/>
    <s v="5"/>
    <s v="3200"/>
    <s v="YAOUNDÉ"/>
    <s v="SOUPLINE"/>
    <n v="16000"/>
    <s v="October"/>
  </r>
  <r>
    <s v="S-079"/>
    <s v="02/11/2026"/>
    <x v="2"/>
    <s v="Ginger Beer"/>
    <s v="SABC"/>
    <s v="Garoua"/>
    <s v="24"/>
    <s v="700"/>
    <s v="GAROUA"/>
    <s v="SABC"/>
    <n v="16800"/>
    <s v="November"/>
  </r>
  <r>
    <s v="S-080"/>
    <s v="15/11/2026"/>
    <x v="3"/>
    <s v="Rasoir Jetable"/>
    <s v="GILLETTE"/>
    <s v="Bafoussam"/>
    <s v="40"/>
    <s v="350"/>
    <s v="BAFOUSSAM"/>
    <s v="GILLETTE"/>
    <n v="14000"/>
    <s v="November"/>
  </r>
  <r>
    <s v="S-081"/>
    <s v="25/11/2026"/>
    <x v="0"/>
    <s v="Haricots Blancs"/>
    <s v="REGINA"/>
    <s v="Kribi"/>
    <s v="15"/>
    <s v="850"/>
    <s v="KRIBI"/>
    <s v="REGINA"/>
    <n v="12750"/>
    <s v="November"/>
  </r>
  <r>
    <s v="S-082"/>
    <s v="05/12/2026"/>
    <x v="2"/>
    <s v="Vin Blanc"/>
    <s v="BVC"/>
    <s v="Douala"/>
    <s v="6"/>
    <s v="5500"/>
    <s v="DOUALA"/>
    <s v="BVC"/>
    <n v="33000"/>
    <s v="December"/>
  </r>
  <r>
    <s v="S-083"/>
    <s v="15/12/2026"/>
    <x v="0"/>
    <s v="Dinde de Noël"/>
    <s v="AGROCAM"/>
    <s v="Yaoundé"/>
    <s v="3"/>
    <s v="12500"/>
    <s v="YAOUNDÉ"/>
    <s v="AGROCAM"/>
    <n v="37500"/>
    <s v="December"/>
  </r>
  <r>
    <s v="S-084"/>
    <s v="24/12/2026"/>
    <x v="2"/>
    <s v="Whisky 12 ans"/>
    <s v="CHIVAS"/>
    <s v="Douala"/>
    <s v="2"/>
    <s v="35000"/>
    <s v="DOUALA"/>
    <s v="CHIVAS"/>
    <n v="70000"/>
    <s v="December"/>
  </r>
  <r>
    <s v="S-085"/>
    <s v="30/12/2026"/>
    <x v="3"/>
    <s v="Gel Douche"/>
    <s v="LE PETIT MARSEILLAIS"/>
    <s v="Bafoussam"/>
    <s v="12"/>
    <s v="2200"/>
    <s v="BAFOUSSAM"/>
    <s v="LE PETIT MARSEILLAIS"/>
    <n v="26400"/>
    <s v="December"/>
  </r>
  <r>
    <s v="S-086"/>
    <s v="05/01/2026"/>
    <x v="0"/>
    <s v="Beurre de table"/>
    <s v="JADIDA"/>
    <s v="Douala"/>
    <s v="10"/>
    <s v="1200"/>
    <s v="DOUALA"/>
    <s v="JADIDA"/>
    <n v="12000"/>
    <s v="January"/>
  </r>
  <r>
    <s v="S-087"/>
    <s v="12/01/2026"/>
    <x v="3"/>
    <s v="Lotion Tonique"/>
    <s v="NIVEA"/>
    <s v="Yaoundé"/>
    <s v="5"/>
    <s v="3800"/>
    <s v="YAOUNDÉ"/>
    <s v="NIVEA"/>
    <n v="19000"/>
    <s v="January"/>
  </r>
  <r>
    <s v="S-088"/>
    <s v="18/01/2026"/>
    <x v="2"/>
    <s v="Jus de Pomme"/>
    <s v="RAUCH"/>
    <s v="Garoua"/>
    <s v="15"/>
    <s v="1300"/>
    <s v="GAROUA"/>
    <s v="RAUCH"/>
    <n v="19500"/>
    <s v="January"/>
  </r>
  <r>
    <s v="S-089"/>
    <s v="25/01/2026"/>
    <x v="1"/>
    <s v="Nettoyant Multi"/>
    <s v="AJAX"/>
    <s v="Bafoussam"/>
    <s v="8"/>
    <s v="1500"/>
    <s v="BAFOUSSAM"/>
    <s v="AJAX"/>
    <n v="12000"/>
    <s v="January"/>
  </r>
  <r>
    <s v="S-090"/>
    <s v="02/02/2026"/>
    <x v="0"/>
    <s v="Fromage Portion"/>
    <s v="LA VACHE QUI RIT"/>
    <s v="Douala"/>
    <s v="24"/>
    <s v="1800"/>
    <s v="DOUALA"/>
    <s v="LA VACHE QUI RIT"/>
    <n v="43200"/>
    <s v="February"/>
  </r>
  <r>
    <s v="S-091"/>
    <s v="10/02/2026"/>
    <x v="2"/>
    <s v="Bière Mützig"/>
    <s v="SABC"/>
    <s v="Kribi"/>
    <s v="36"/>
    <s v="700"/>
    <s v="KRIBI"/>
    <s v="SABC"/>
    <n v="25200"/>
    <s v="February"/>
  </r>
  <r>
    <s v="S-092"/>
    <s v="15/02/2026"/>
    <x v="3"/>
    <s v="Masque Visage"/>
    <s v="GARNIER"/>
    <s v="Yaoundé"/>
    <s v="12"/>
    <s v="1500"/>
    <s v="YAOUNDÉ"/>
    <s v="GARNIER"/>
    <n v="18000"/>
    <s v="February"/>
  </r>
  <r>
    <s v="S-093"/>
    <s v="22/02/2026"/>
    <x v="1"/>
    <s v="Éponge Grattante"/>
    <s v="SCOTCH-BRITE"/>
    <s v="Douala"/>
    <s v="20"/>
    <s v="450"/>
    <s v="DOUALA"/>
    <s v="SCOTCH-BRITE"/>
    <n v="9000"/>
    <s v="February"/>
  </r>
  <r>
    <s v="S-094"/>
    <s v="02/03/2026"/>
    <x v="0"/>
    <s v="Yaourt Nature"/>
    <s v="CAMLAIT"/>
    <s v="Garoua"/>
    <s v="40"/>
    <s v="300"/>
    <s v="GAROUA"/>
    <s v="CAMLAIT"/>
    <n v="12000"/>
    <s v="March"/>
  </r>
  <r>
    <s v="S-095"/>
    <s v="10/03/2026"/>
    <x v="2"/>
    <s v="Limonade 0.5L"/>
    <s v="SABC"/>
    <s v="Bafoussam"/>
    <s v="50"/>
    <s v="400"/>
    <s v="BAFOUSSAM"/>
    <s v="SABC"/>
    <n v="20000"/>
    <s v="March"/>
  </r>
  <r>
    <s v="S-096"/>
    <s v="18/03/2026"/>
    <x v="0"/>
    <s v="Moutarde de Dijon"/>
    <s v="AMORA"/>
    <s v="Douala"/>
    <s v="6"/>
    <s v="1400"/>
    <s v="DOUALA"/>
    <s v="AMORA"/>
    <n v="8400"/>
    <s v="March"/>
  </r>
  <r>
    <s v="S-097"/>
    <s v="25/03/2026"/>
    <x v="3"/>
    <s v="Déodorant Bille"/>
    <s v="USHAÏA"/>
    <s v="Yaoundé"/>
    <s v="15"/>
    <s v="2500"/>
    <s v="YAOUNDÉ"/>
    <s v="USHAÏA"/>
    <n v="37500"/>
    <s v="March"/>
  </r>
  <r>
    <s v="S-098"/>
    <s v="02/04/2026"/>
    <x v="1"/>
    <s v="Désinfectant Sol"/>
    <s v="SANITERGENT"/>
    <s v="Kribi"/>
    <s v="10"/>
    <s v="1800"/>
    <s v="KRIBI"/>
    <s v="SANITERGENT"/>
    <n v="18000"/>
    <s v="April"/>
  </r>
  <r>
    <s v="S-099"/>
    <s v="10/04/2026"/>
    <x v="2"/>
    <s v="Sirop Menthe"/>
    <s v="TEISSEIRE"/>
    <s v="Garoua"/>
    <s v="4"/>
    <s v="3500"/>
    <s v="GAROUA"/>
    <s v="TEISSEIRE"/>
    <n v="14000"/>
    <s v="April"/>
  </r>
  <r>
    <s v="S-100"/>
    <s v="15/04/2026"/>
    <x v="0"/>
    <s v="Saucisson Sec"/>
    <s v="BORDEAU CHESNEL"/>
    <s v="Douala"/>
    <s v="5"/>
    <s v="4500"/>
    <s v="DOUALA"/>
    <s v="BORDEAU CHESNEL"/>
    <n v="22500"/>
    <s v="April"/>
  </r>
  <r>
    <s v="S-101"/>
    <s v="22/04/2026"/>
    <x v="3"/>
    <s v="Crème de Jour"/>
    <s v="L'OREAL"/>
    <s v="Yaoundé"/>
    <s v="3"/>
    <s v="9500"/>
    <s v="YAOUNDÉ"/>
    <s v="L'OREAL"/>
    <n v="28500"/>
    <s v="April"/>
  </r>
  <r>
    <s v="S-102"/>
    <s v="30/04/2026"/>
    <x v="2"/>
    <s v="Eau de Source"/>
    <s v="Vittel"/>
    <s v="Bafoussam"/>
    <s v="30"/>
    <s v="850"/>
    <s v="BAFOUSSAM"/>
    <s v="VITTEL"/>
    <n v="25500"/>
    <s v="April"/>
  </r>
  <r>
    <s v="S-103"/>
    <s v="05/05/2026"/>
    <x v="0"/>
    <s v="Huile d'Olive"/>
    <s v="PUGET"/>
    <s v="Kribi"/>
    <s v="2"/>
    <s v="6500"/>
    <s v="KRIBI"/>
    <s v="PUGET"/>
    <n v="13000"/>
    <s v="May"/>
  </r>
  <r>
    <s v="S-104"/>
    <s v="12/05/2026"/>
    <x v="1"/>
    <s v="Lessive Liquide"/>
    <s v="Le Chat"/>
    <s v="Douala"/>
    <s v="5"/>
    <s v="7500"/>
    <s v="DOUALA"/>
    <s v="LE CHAT"/>
    <n v="37500"/>
    <s v="May"/>
  </r>
  <r>
    <s v="S-105"/>
    <s v="20/05/2026"/>
    <x v="2"/>
    <s v="Canette Malta"/>
    <s v="SABC"/>
    <s v="Garoua"/>
    <s v="24"/>
    <s v="600"/>
    <s v="GAROUA"/>
    <s v="SABC"/>
    <n v="14400"/>
    <s v="May"/>
  </r>
  <r>
    <s v="S-106"/>
    <s v="28/05/2026"/>
    <x v="0"/>
    <s v="Céréales Matin"/>
    <s v="KELLOGG'S"/>
    <s v="Yaoundé"/>
    <s v="8"/>
    <s v="3200"/>
    <s v="YAOUNDÉ"/>
    <s v="KELLOGG'S"/>
    <n v="25600"/>
    <s v="May"/>
  </r>
  <r>
    <s v="S-107"/>
    <s v="05/06/2026"/>
    <x v="3"/>
    <s v="Savon Liquide"/>
    <s v="PALMOLIVE"/>
    <s v="Bafoussam"/>
    <s v="12"/>
    <s v="1400"/>
    <s v="BAFOUSSAM"/>
    <s v="PALMOLIVE"/>
    <n v="16800"/>
    <s v="June"/>
  </r>
  <r>
    <s v="S-108"/>
    <s v="12/06/2026"/>
    <x v="1"/>
    <s v="Chiffon Microfibre"/>
    <s v="PROPRE"/>
    <s v="Douala"/>
    <s v="20"/>
    <s v="850"/>
    <s v="DOUALA"/>
    <s v="PROPRE"/>
    <n v="17000"/>
    <s v="June"/>
  </r>
  <r>
    <s v="S-109"/>
    <s v="20/06/2026"/>
    <x v="2"/>
    <s v="Jus Multi-fruits"/>
    <s v="CERES"/>
    <s v="Kribi"/>
    <s v="15"/>
    <s v="1100"/>
    <s v="KRIBI"/>
    <s v="CERES"/>
    <n v="16500"/>
    <s v="June"/>
  </r>
  <r>
    <s v="S-110"/>
    <s v="28/06/2026"/>
    <x v="0"/>
    <s v="Confiture Fraise"/>
    <s v="BONNE MAMAN"/>
    <s v="Yaoundé"/>
    <s v="6"/>
    <s v="2200"/>
    <s v="YAOUNDÉ"/>
    <s v="BONNE MAMAN"/>
    <n v="13200"/>
    <s v="June"/>
  </r>
  <r>
    <s v="S-111"/>
    <s v="05/07/2026"/>
    <x v="2"/>
    <s v="Coca Zero 0.5L"/>
    <s v="SABC"/>
    <s v="Douala"/>
    <s v="24"/>
    <s v="500"/>
    <s v="DOUALA"/>
    <s v="SABC"/>
    <n v="12000"/>
    <s v="July"/>
  </r>
  <r>
    <s v="S-112"/>
    <s v="12/07/2026"/>
    <x v="0"/>
    <s v="Thon à l'huile"/>
    <s v="PETIT NAVIRE"/>
    <s v="Yaoundé"/>
    <s v="10"/>
    <s v="1100"/>
    <s v="YAOUNDÉ"/>
    <s v="PETIT NAVIRE"/>
    <n v="11000"/>
    <s v="July"/>
  </r>
  <r>
    <s v="S-113"/>
    <s v="20/07/2026"/>
    <x v="3"/>
    <s v="Couches Bébé"/>
    <s v="PAMPERS"/>
    <s v="Garoua"/>
    <s v="4"/>
    <s v="8500"/>
    <s v="GAROUA"/>
    <s v="PAMPERS"/>
    <n v="34000"/>
    <s v="July"/>
  </r>
  <r>
    <s v="S-114"/>
    <s v="28/07/2026"/>
    <x v="1"/>
    <s v="Lingettes Multi"/>
    <s v="ST MARC"/>
    <s v="Bafoussam"/>
    <s v="15"/>
    <s v="1800"/>
    <s v="BAFOUSSAM"/>
    <s v="ST MARC"/>
    <n v="27000"/>
    <s v="July"/>
  </r>
  <r>
    <s v="S-115"/>
    <s v="05/08/2026"/>
    <x v="2"/>
    <s v="Top Orange 1.5L"/>
    <s v="SABC"/>
    <s v="Kribi"/>
    <s v="12"/>
    <s v="1100"/>
    <s v="KRIBI"/>
    <s v="SABC"/>
    <n v="13200"/>
    <s v="August"/>
  </r>
  <r>
    <s v="S-116"/>
    <s v="14/08/2026"/>
    <x v="0"/>
    <s v="Pâtes à Lasagne"/>
    <s v="BARILLA"/>
    <s v="Douala"/>
    <s v="8"/>
    <s v="2200"/>
    <s v="DOUALA"/>
    <s v="BARILLA"/>
    <n v="17600"/>
    <s v="August"/>
  </r>
  <r>
    <s v="S-117"/>
    <s v="25/08/2026"/>
    <x v="3"/>
    <s v="Dentifrice Enfant"/>
    <s v="SIGNAL"/>
    <s v="Yaoundé"/>
    <s v="20"/>
    <s v="800"/>
    <s v="YAOUNDÉ"/>
    <s v="SIGNAL"/>
    <n v="16000"/>
    <s v="August"/>
  </r>
  <r>
    <s v="S-118"/>
    <s v="02/09/2026"/>
    <x v="1"/>
    <s v="Bloc WC"/>
    <s v="HARPIC"/>
    <s v="Garoua"/>
    <s v="12"/>
    <s v="1400"/>
    <s v="GAROUA"/>
    <s v="HARPIC"/>
    <n v="16800"/>
    <s v="September"/>
  </r>
  <r>
    <s v="S-119"/>
    <s v="12/09/2026"/>
    <x v="2"/>
    <s v="Jus de Raisin"/>
    <s v="RAUCH"/>
    <s v="Bafoussam"/>
    <s v="6"/>
    <s v="1300"/>
    <s v="BAFOUSSAM"/>
    <s v="RAUCH"/>
    <n v="7800"/>
    <s v="September"/>
  </r>
  <r>
    <s v="S-120"/>
    <s v="22/09/2026"/>
    <x v="0"/>
    <s v="Vinaigre Blanc"/>
    <s v="MELFOR"/>
    <s v="Douala"/>
    <s v="10"/>
    <s v="950"/>
    <s v="DOUALA"/>
    <s v="MELFOR"/>
    <n v="9500"/>
    <s v="September"/>
  </r>
  <r>
    <s v="S-121"/>
    <s v="30/09/2026"/>
    <x v="3"/>
    <s v="Crème à raser"/>
    <s v="PALMOLIVE"/>
    <s v="Kribi"/>
    <s v="5"/>
    <s v="2800"/>
    <s v="KRIBI"/>
    <s v="PALMOLIVE"/>
    <n v="14000"/>
    <s v="September"/>
  </r>
  <r>
    <s v="S-122"/>
    <s v="05/10/2026"/>
    <x v="2"/>
    <s v="Grenadine 1L"/>
    <s v="SIROP SPORT"/>
    <s v="Yaoundé"/>
    <s v="4"/>
    <s v="2500"/>
    <s v="YAOUNDÉ"/>
    <s v="SIROP SPORT"/>
    <n v="10000"/>
    <s v="October"/>
  </r>
  <r>
    <s v="S-123"/>
    <s v="14/10/2026"/>
    <x v="0"/>
    <s v="Poivre Noir"/>
    <s v="DUCROS"/>
    <s v="Garoua"/>
    <s v="30"/>
    <s v="600"/>
    <s v="GAROUA"/>
    <s v="DUCROS"/>
    <n v="18000"/>
    <s v="October"/>
  </r>
  <r>
    <s v="S-124"/>
    <s v="25/10/2026"/>
    <x v="1"/>
    <s v="Liquide Sols"/>
    <s v="MONSAVON"/>
    <s v="Bafoussam"/>
    <s v="8"/>
    <s v="1200"/>
    <s v="BAFOUSSAM"/>
    <s v="MONSAVON"/>
    <n v="9600"/>
    <s v="October"/>
  </r>
  <r>
    <s v="S-125"/>
    <s v="02/11/2026"/>
    <x v="2"/>
    <s v="Eau de Source"/>
    <s v="SUPERMONT"/>
    <s v="Douala"/>
    <s v="100"/>
    <s v="250"/>
    <s v="DOUALA"/>
    <s v="SUPERMONT"/>
    <n v="25000"/>
    <s v="November"/>
  </r>
  <r>
    <s v="S-126"/>
    <s v="12/11/2026"/>
    <x v="0"/>
    <s v="Riz Long Grain"/>
    <s v="CIGALE"/>
    <s v="Yaoundé"/>
    <s v="20"/>
    <s v="3500"/>
    <s v="YAOUNDÉ"/>
    <s v="CIGALE"/>
    <n v="70000"/>
    <s v="November"/>
  </r>
  <r>
    <s v="S-127"/>
    <s v="20/11/2026"/>
    <x v="3"/>
    <s v="Savon Antiseptique"/>
    <s v="DETTOL"/>
    <s v="Kribi"/>
    <s v="15"/>
    <s v="1100"/>
    <s v="KRIBI"/>
    <s v="DETTOL"/>
    <n v="16500"/>
    <s v="November"/>
  </r>
  <r>
    <s v="S-128"/>
    <s v="28/11/2026"/>
    <x v="1"/>
    <s v="Sacs Congélation"/>
    <s v="ALBAL"/>
    <s v="Garoua"/>
    <s v="12"/>
    <s v="1500"/>
    <s v="GAROUA"/>
    <s v="ALBAL"/>
    <n v="18000"/>
    <s v="November"/>
  </r>
  <r>
    <s v="S-129"/>
    <s v="05/12/2026"/>
    <x v="2"/>
    <s v="Vin Pétillant"/>
    <s v="JP CHENET"/>
    <s v="Douala"/>
    <s v="12"/>
    <s v="6500"/>
    <s v="DOUALA"/>
    <s v="JP CHENET"/>
    <n v="78000"/>
    <s v="December"/>
  </r>
  <r>
    <s v="S-130"/>
    <s v="12/12/2026"/>
    <x v="0"/>
    <s v="Mayonnaise Pot"/>
    <s v="LESIEUR"/>
    <s v="Bafoussam"/>
    <s v="10"/>
    <s v="2400"/>
    <s v="BAFOUSSAM"/>
    <s v="LESIEUR"/>
    <n v="24000"/>
    <s v="December"/>
  </r>
  <r>
    <s v="S-131"/>
    <s v="18/12/2026"/>
    <x v="2"/>
    <s v="Bière 33 Export"/>
    <s v="SABC"/>
    <s v="Yaoundé"/>
    <s v="24"/>
    <s v="650"/>
    <s v="YAOUNDÉ"/>
    <s v="SABC"/>
    <n v="15600"/>
    <s v="December"/>
  </r>
  <r>
    <s v="S-132"/>
    <s v="22/12/2026"/>
    <x v="0"/>
    <s v="Bouchées Chocolat"/>
    <s v="FERRERO"/>
    <s v="Douala"/>
    <s v="5"/>
    <s v="8500"/>
    <s v="DOUALA"/>
    <s v="FERRERO"/>
    <n v="42500"/>
    <s v="December"/>
  </r>
  <r>
    <s v="S-133"/>
    <s v="24/12/2026"/>
    <x v="2"/>
    <s v="Whisky Premium"/>
    <s v="GLENFIDDICH"/>
    <s v="Kribi"/>
    <s v="1"/>
    <s v="45000"/>
    <s v="KRIBI"/>
    <s v="GLENFIDDICH"/>
    <n v="45000"/>
    <s v="December"/>
  </r>
  <r>
    <s v="S-134"/>
    <s v="28/12/2026"/>
    <x v="1"/>
    <s v="Essuie-tout Maxi"/>
    <s v="OKI"/>
    <s v="Garoua"/>
    <s v="15"/>
    <s v="1200"/>
    <s v="GAROUA"/>
    <s v="OKI"/>
    <n v="18000"/>
    <s v="December"/>
  </r>
  <r>
    <s v="S-135"/>
    <s v="31/12/2026"/>
    <x v="2"/>
    <s v="Champagne Brut"/>
    <s v="LAURENT PERRIER"/>
    <s v="Douala"/>
    <s v="2"/>
    <s v="55000"/>
    <s v="DOUALA"/>
    <s v="LAURENT PERRIER"/>
    <n v="110000"/>
    <s v="December"/>
  </r>
  <r>
    <s v="S-136"/>
    <s v="05/01/2026"/>
    <x v="0"/>
    <s v="Thé Noir"/>
    <s v="LIPTON"/>
    <s v="Douala"/>
    <s v="25"/>
    <s v="1200"/>
    <s v="DOUALA"/>
    <s v="LIPTON"/>
    <n v="30000"/>
    <s v="January"/>
  </r>
  <r>
    <s v="S-137"/>
    <s v="12/01/2026"/>
    <x v="3"/>
    <s v="Couches Bébé"/>
    <s v="PAMPERS"/>
    <s v="Yaoundé"/>
    <s v="5"/>
    <s v="8500"/>
    <s v="YAOUNDÉ"/>
    <s v="PAMPERS"/>
    <n v="42500"/>
    <s v="January"/>
  </r>
  <r>
    <s v="S-138"/>
    <s v="18/01/2026"/>
    <x v="2"/>
    <s v="Jus de Raisin"/>
    <s v="RAUCH"/>
    <s v="Garoua"/>
    <s v="12"/>
    <s v="1300"/>
    <s v="GAROUA"/>
    <s v="RAUCH"/>
    <n v="15600"/>
    <s v="January"/>
  </r>
  <r>
    <s v="S-139"/>
    <s v="25/01/2026"/>
    <x v="1"/>
    <s v="Liquide Sols"/>
    <s v="MONSAVON"/>
    <s v="Bafoussam"/>
    <s v="8"/>
    <s v="1500"/>
    <s v="BAFOUSSAM"/>
    <s v="MONSAVON"/>
    <n v="12000"/>
    <s v="January"/>
  </r>
  <r>
    <s v="S-140"/>
    <s v="02/02/2026"/>
    <x v="0"/>
    <s v="Confiture Fraise"/>
    <s v="BONNE MAMAN"/>
    <s v="Douala"/>
    <s v="10"/>
    <s v="2200"/>
    <s v="DOUALA"/>
    <s v="BONNE MAMAN"/>
    <n v="22000"/>
    <s v="February"/>
  </r>
  <r>
    <s v="S-141"/>
    <s v="10/02/2026"/>
    <x v="2"/>
    <s v="Eau Vive"/>
    <s v="SEME"/>
    <s v="Kribi"/>
    <s v="60"/>
    <s v="350"/>
    <s v="KRIBI"/>
    <s v="SEME"/>
    <n v="21000"/>
    <s v="February"/>
  </r>
  <r>
    <s v="S-142"/>
    <s v="15/02/2026"/>
    <x v="3"/>
    <s v="Gel Douche"/>
    <s v="DOVE"/>
    <s v="Yaoundé"/>
    <s v="15"/>
    <s v="2200"/>
    <s v="YAOUNDÉ"/>
    <s v="DOVE"/>
    <n v="33000"/>
    <s v="February"/>
  </r>
  <r>
    <s v="S-143"/>
    <s v="22/02/2026"/>
    <x v="1"/>
    <s v="Essuie-tout"/>
    <s v="OKI"/>
    <s v="Douala"/>
    <s v="12"/>
    <s v="1200"/>
    <s v="DOUALA"/>
    <s v="OKI"/>
    <n v="14400"/>
    <s v="February"/>
  </r>
  <r>
    <s v="S-144"/>
    <s v="02/03/2026"/>
    <x v="0"/>
    <s v="Haricots Blancs"/>
    <s v="REGINA"/>
    <s v="Garoua"/>
    <s v="20"/>
    <s v="850"/>
    <s v="GAROUA"/>
    <s v="REGINA"/>
    <n v="17000"/>
    <s v="March"/>
  </r>
  <r>
    <s v="S-145"/>
    <s v="10/03/2026"/>
    <x v="2"/>
    <s v="Bière Blonde"/>
    <s v="CASTEL"/>
    <s v="Bafoussam"/>
    <s v="48"/>
    <s v="650"/>
    <s v="BAFOUSSAM"/>
    <s v="CASTEL"/>
    <n v="31200"/>
    <s v="March"/>
  </r>
  <r>
    <s v="S-146"/>
    <s v="18/03/2026"/>
    <x v="0"/>
    <s v="Sardines"/>
    <s v="CONNETABLE"/>
    <s v="Douala"/>
    <s v="30"/>
    <s v="600"/>
    <s v="DOUALA"/>
    <s v="CONNETABLE"/>
    <n v="18000"/>
    <s v="March"/>
  </r>
  <r>
    <s v="S-147"/>
    <s v="25/03/2026"/>
    <x v="3"/>
    <s v="Shampooing"/>
    <s v="GARNIER"/>
    <s v="Yaoundé"/>
    <s v="8"/>
    <s v="2800"/>
    <s v="YAOUNDÉ"/>
    <s v="GARNIER"/>
    <n v="22400"/>
    <s v="March"/>
  </r>
  <r>
    <s v="S-148"/>
    <s v="02/04/2026"/>
    <x v="1"/>
    <s v="Sacs Poubelle"/>
    <s v="PROPRE"/>
    <s v="Kribi"/>
    <s v="20"/>
    <s v="1200"/>
    <s v="KRIBI"/>
    <s v="PROPRE"/>
    <n v="24000"/>
    <s v="April"/>
  </r>
  <r>
    <s v="S-149"/>
    <s v="10/04/2026"/>
    <x v="2"/>
    <s v="Vin Rouge"/>
    <s v="BVC"/>
    <s v="Garoua"/>
    <s v="6"/>
    <s v="4500"/>
    <s v="GAROUA"/>
    <s v="BVC"/>
    <n v="27000"/>
    <s v="April"/>
  </r>
  <r>
    <s v="S-150"/>
    <s v="15/04/2026"/>
    <x v="0"/>
    <s v="Pâtes 500g"/>
    <s v="PANZANI"/>
    <s v="Douala"/>
    <s v="50"/>
    <s v="600"/>
    <s v="DOUALA"/>
    <s v="PANZANI"/>
    <n v="30000"/>
    <s v="April"/>
  </r>
  <r>
    <s v="S-151"/>
    <s v="22/04/2026"/>
    <x v="3"/>
    <s v="Lotion Corps"/>
    <s v="MIXA"/>
    <s v="Yaoundé"/>
    <s v="5"/>
    <s v="3200"/>
    <s v="YAOUNDÉ"/>
    <s v="MIXA"/>
    <n v="16000"/>
    <s v="April"/>
  </r>
  <r>
    <s v="S-152"/>
    <s v="30/04/2026"/>
    <x v="2"/>
    <s v="Soda"/>
    <s v="DJINO"/>
    <s v="Bafoussam"/>
    <s v="24"/>
    <s v="600"/>
    <s v="BAFOUSSAM"/>
    <s v="DJINO"/>
    <n v="14400"/>
    <s v="April"/>
  </r>
  <r>
    <s v="S-153"/>
    <s v="05/05/2026"/>
    <x v="0"/>
    <s v="Riz Long Grain"/>
    <s v="CIGALE"/>
    <s v="Kribi"/>
    <s v="15"/>
    <s v="3500"/>
    <s v="KRIBI"/>
    <s v="CIGALE"/>
    <n v="52500"/>
    <s v="May"/>
  </r>
  <r>
    <s v="S-154"/>
    <s v="12/05/2026"/>
    <x v="1"/>
    <s v="Nettoyant Vitres"/>
    <s v="AJAX"/>
    <s v="Douala"/>
    <s v="10"/>
    <s v="1400"/>
    <s v="DOUALA"/>
    <s v="AJAX"/>
    <n v="14000"/>
    <s v="May"/>
  </r>
  <r>
    <s v="S-155"/>
    <s v="20/05/2026"/>
    <x v="2"/>
    <s v="Mützig Canette"/>
    <s v="SABC"/>
    <s v="Garoua"/>
    <s v="36"/>
    <s v="700"/>
    <s v="GAROUA"/>
    <s v="SABC"/>
    <n v="25200"/>
    <s v="May"/>
  </r>
  <r>
    <s v="S-156"/>
    <s v="05/06/2026"/>
    <x v="0"/>
    <s v="Chocolat Tartiner"/>
    <s v="TARTINA"/>
    <s v="Douala"/>
    <s v="10"/>
    <s v="2500"/>
    <s v="DOUALA"/>
    <s v="TARTINA"/>
    <n v="25000"/>
    <s v="June"/>
  </r>
  <r>
    <s v="S-157"/>
    <s v="12/06/2026"/>
    <x v="3"/>
    <s v="Savon Toilette"/>
    <s v="CAMAY"/>
    <s v="Yaoundé"/>
    <s v="20"/>
    <s v="500"/>
    <s v="YAOUNDÉ"/>
    <s v="CAMAY"/>
    <n v="10000"/>
    <s v="June"/>
  </r>
  <r>
    <s v="S-158"/>
    <s v="20/06/2026"/>
    <x v="2"/>
    <s v="Top Pamplemousse"/>
    <s v="SABC"/>
    <s v="Garoua"/>
    <s v="24"/>
    <s v="600"/>
    <s v="GAROUA"/>
    <s v="SABC"/>
    <n v="14400"/>
    <s v="June"/>
  </r>
  <r>
    <s v="S-159"/>
    <s v="28/06/2026"/>
    <x v="1"/>
    <s v="Désodorisant"/>
    <s v="AIRWICK"/>
    <s v="Bafoussam"/>
    <s v="6"/>
    <s v="1800"/>
    <s v="BAFOUSSAM"/>
    <s v="AIRWICK"/>
    <n v="10800"/>
    <s v="June"/>
  </r>
  <r>
    <s v="S-160"/>
    <s v="05/07/2026"/>
    <x v="0"/>
    <s v="Beurre de Table"/>
    <s v="JADIDA"/>
    <s v="Douala"/>
    <s v="12"/>
    <s v="1200"/>
    <s v="DOUALA"/>
    <s v="JADIDA"/>
    <n v="14400"/>
    <s v="July"/>
  </r>
  <r>
    <s v="S-161"/>
    <s v="14/07/2026"/>
    <x v="2"/>
    <s v="Eau Minérale 1.5L"/>
    <s v="TANGUI"/>
    <s v="Kribi"/>
    <s v="40"/>
    <s v="400"/>
    <s v="KRIBI"/>
    <s v="TANGUI"/>
    <n v="16000"/>
    <s v="July"/>
  </r>
  <r>
    <s v="S-162"/>
    <s v="25/07/2026"/>
    <x v="3"/>
    <s v="Shampooing Doux"/>
    <s v="DOVE"/>
    <s v="Yaoundé"/>
    <s v="8"/>
    <s v="2500"/>
    <s v="YAOUNDÉ"/>
    <s v="DOVE"/>
    <n v="20000"/>
    <s v="July"/>
  </r>
  <r>
    <s v="S-163"/>
    <s v="02/08/2026"/>
    <x v="1"/>
    <s v="Javel 1L"/>
    <s v="LACROIX"/>
    <s v="Douala"/>
    <s v="15"/>
    <s v="850"/>
    <s v="DOUALA"/>
    <s v="LACROIX"/>
    <n v="12750"/>
    <s v="August"/>
  </r>
  <r>
    <s v="S-164"/>
    <s v="12/08/2026"/>
    <x v="0"/>
    <s v="Miel Naturel"/>
    <s v="VITA"/>
    <s v="Garoua"/>
    <s v="4"/>
    <s v="3500"/>
    <s v="GAROUA"/>
    <s v="VITA"/>
    <n v="14000"/>
    <s v="August"/>
  </r>
  <r>
    <s v="S-165"/>
    <s v="22/08/2026"/>
    <x v="2"/>
    <s v="Canette Soda"/>
    <s v="VIMTO"/>
    <s v="Bafoussam"/>
    <s v="36"/>
    <s v="500"/>
    <s v="BAFOUSSAM"/>
    <s v="VIMTO"/>
    <n v="18000"/>
    <s v="August"/>
  </r>
  <r>
    <s v="S-166"/>
    <s v="05/09/2026"/>
    <x v="0"/>
    <s v="Huile Végétale"/>
    <s v="JADIDA"/>
    <s v="Douala"/>
    <s v="10"/>
    <s v="1100"/>
    <s v="DOUALA"/>
    <s v="JADIDA"/>
    <n v="11000"/>
    <s v="September"/>
  </r>
  <r>
    <s v="S-167"/>
    <s v="15/09/2026"/>
    <x v="3"/>
    <s v="Lait de Toilette"/>
    <s v="NIVEA"/>
    <s v="Yaoundé"/>
    <s v="5"/>
    <n v="3500"/>
    <s v="YAOUNDÉ"/>
    <s v="NIVEA"/>
    <n v="17500"/>
    <s v="September"/>
  </r>
  <r>
    <s v="S-168"/>
    <s v="28/09/2026"/>
    <x v="1"/>
    <s v="Liquide Vaisselle"/>
    <s v="PAIC"/>
    <s v="Kribi"/>
    <s v="12"/>
    <s v="1100"/>
    <s v="KRIBI"/>
    <s v="PAIC"/>
    <n v="13200"/>
    <s v="September"/>
  </r>
  <r>
    <s v="S-169"/>
    <s v="05/10/2026"/>
    <x v="2"/>
    <s v="Bière Brune"/>
    <s v="GUINNESS"/>
    <s v="Garoua"/>
    <s v="24"/>
    <s v="800"/>
    <s v="GAROUA"/>
    <s v="GUINNESS"/>
    <n v="19200"/>
    <s v="October"/>
  </r>
  <r>
    <s v="S-170"/>
    <s v="14/10/2026"/>
    <x v="0"/>
    <s v="Sucre en Poudre"/>
    <s v="SOSUCAM"/>
    <s v="Bafoussam"/>
    <s v="15"/>
    <s v="850"/>
    <s v="BAFOUSSAM"/>
    <s v="SOSUCAM"/>
    <n v="12750"/>
    <s v="October"/>
  </r>
  <r>
    <s v="S-171"/>
    <s v="25/10/2026"/>
    <x v="3"/>
    <s v="Dentifrice"/>
    <s v="COLGATE"/>
    <s v="Douala"/>
    <s v="20"/>
    <s v="800"/>
    <s v="DOUALA"/>
    <s v="COLGATE"/>
    <n v="16000"/>
    <s v="October"/>
  </r>
  <r>
    <s v="S-172"/>
    <s v="02/11/2026"/>
    <x v="2"/>
    <s v="Jus de Fruits"/>
    <s v="TOP"/>
    <s v="Yaoundé"/>
    <s v="18"/>
    <s v="600"/>
    <s v="YAOUNDÉ"/>
    <s v="TOP"/>
    <n v="10800"/>
    <s v="November"/>
  </r>
  <r>
    <s v="S-173"/>
    <s v="12/11/2026"/>
    <x v="1"/>
    <s v="Éponge Grattante"/>
    <s v="SCOTCH"/>
    <s v="Kribi"/>
    <s v="30"/>
    <s v="300"/>
    <s v="KRIBI"/>
    <s v="SCOTCH"/>
    <n v="9000"/>
    <s v="November"/>
  </r>
  <r>
    <s v="S-174"/>
    <s v="22/11/2026"/>
    <x v="0"/>
    <s v="Café Poudre"/>
    <s v="NESCAFE"/>
    <s v="Garoua"/>
    <s v="6"/>
    <s v="3500"/>
    <s v="GAROUA"/>
    <s v="NESCAFE"/>
    <n v="21000"/>
    <s v="November"/>
  </r>
  <r>
    <s v="S-175"/>
    <s v="30/11/2026"/>
    <x v="2"/>
    <s v="Limonade"/>
    <s v="KADJI"/>
    <s v="Douala"/>
    <s v="20"/>
    <s v="700"/>
    <s v="DOUALA"/>
    <s v="KADJI"/>
    <n v="14000"/>
    <s v="November"/>
  </r>
  <r>
    <s v="S-176"/>
    <s v="05/12/2026"/>
    <x v="2"/>
    <s v="Champagne Brut"/>
    <s v="LAURENT PERRIER"/>
    <s v="Douala"/>
    <s v="2"/>
    <s v="55000"/>
    <s v="DOUALA"/>
    <s v="LAURENT PERRIER"/>
    <n v="110000"/>
    <s v="December"/>
  </r>
  <r>
    <s v="S-177"/>
    <s v="10/12/2026"/>
    <x v="0"/>
    <s v="Foie Gras"/>
    <s v="LABEYRIE"/>
    <s v="Yaoundé"/>
    <s v="4"/>
    <s v="15000"/>
    <s v="YAOUNDÉ"/>
    <s v="LABEYRIE"/>
    <n v="60000"/>
    <s v="December"/>
  </r>
  <r>
    <s v="S-178"/>
    <s v="15/12/2026"/>
    <x v="2"/>
    <s v="Vin de Table"/>
    <s v="BVC"/>
    <s v="Kribi"/>
    <s v="12"/>
    <s v="4500"/>
    <s v="KRIBI"/>
    <s v="BVC"/>
    <n v="54000"/>
    <s v="December"/>
  </r>
  <r>
    <s v="S-179"/>
    <s v="20/12/2026"/>
    <x v="3"/>
    <s v="Coffret Cadeau"/>
    <s v="DIOR"/>
    <s v="Douala"/>
    <s v="1"/>
    <s v="65000"/>
    <s v="DOUALA"/>
    <s v="DIOR"/>
    <n v="65000"/>
    <s v="December"/>
  </r>
  <r>
    <s v="S-180"/>
    <s v="24/12/2026"/>
    <x v="0"/>
    <s v="Dinde de Noël"/>
    <s v="AGROCAM"/>
    <s v="Yaoundé"/>
    <s v="3"/>
    <s v="12500"/>
    <s v="YAOUNDÉ"/>
    <s v="AGROCAM"/>
    <n v="37500"/>
    <s v="December"/>
  </r>
  <r>
    <s v="S-181"/>
    <s v="28/12/2026"/>
    <x v="2"/>
    <s v="Bière 33 Export"/>
    <s v="SABC"/>
    <s v="Garoua"/>
    <s v="48"/>
    <s v="650"/>
    <s v="GAROUA"/>
    <s v="SABC"/>
    <n v="31200"/>
    <s v="December"/>
  </r>
  <r>
    <s v="S-182"/>
    <s v="05/01/2026"/>
    <x v="1"/>
    <s v="Lessive Liquide"/>
    <s v="ARIEL"/>
    <s v="Bafoussam"/>
    <s v="5"/>
    <s v="7500"/>
    <s v="BAFOUSSAM"/>
    <s v="ARIEL"/>
    <n v="37500"/>
    <s v="January"/>
  </r>
  <r>
    <s v="S-183"/>
    <s v="12/01/2026"/>
    <x v="0"/>
    <s v="Farine Blé"/>
    <s v="SGMC"/>
    <s v="Douala"/>
    <s v="20"/>
    <s v="750"/>
    <s v="DOUALA"/>
    <s v="SGMC"/>
    <n v="15000"/>
    <s v="January"/>
  </r>
  <r>
    <s v="S-184"/>
    <s v="18/01/2026"/>
    <x v="2"/>
    <s v="Jus d'Ananas"/>
    <s v="RAUCH"/>
    <s v="Yaoundé"/>
    <s v="10"/>
    <s v="1100"/>
    <s v="YAOUNDÉ"/>
    <s v="RAUCH"/>
    <n v="11000"/>
    <s v="January"/>
  </r>
  <r>
    <s v="S-185"/>
    <s v="25/01/2026"/>
    <x v="3"/>
    <s v="Lait de Corps"/>
    <s v="TOPICREM"/>
    <s v="Garoua"/>
    <s v="3"/>
    <s v="8500"/>
    <s v="GAROUA"/>
    <s v="TOPICREM"/>
    <n v="25500"/>
    <s v="January"/>
  </r>
  <r>
    <s v="S-186"/>
    <s v="02/02/2026"/>
    <x v="1"/>
    <s v="Nettoyant Sol"/>
    <s v="AJAX"/>
    <s v="Bafoussam"/>
    <s v="8"/>
    <s v="1400"/>
    <s v="BAFOUSSAM"/>
    <s v="AJAX"/>
    <n v="11200"/>
    <s v="February"/>
  </r>
  <r>
    <s v="S-187"/>
    <s v="10/02/2026"/>
    <x v="0"/>
    <s v="Riz Parfumé"/>
    <s v="NEÏMA"/>
    <s v="Douala"/>
    <s v="15"/>
    <s v="4500"/>
    <s v="DOUALA"/>
    <s v="NEÏMA"/>
    <n v="67500"/>
    <s v="February"/>
  </r>
  <r>
    <s v="S-188"/>
    <s v="15/02/2026"/>
    <x v="2"/>
    <s v="Eau Vive"/>
    <s v="SEME"/>
    <s v="Kribi"/>
    <s v="50"/>
    <s v="350"/>
    <s v="KRIBI"/>
    <s v="SEME"/>
    <n v="17500"/>
    <s v="February"/>
  </r>
  <r>
    <s v="S-189"/>
    <s v="22/02/2026"/>
    <x v="3"/>
    <s v="Savon Noir"/>
    <s v="BIO"/>
    <s v="Yaoundé"/>
    <s v="20"/>
    <s v="500"/>
    <s v="YAOUNDÉ"/>
    <s v="BIO"/>
    <n v="10000"/>
    <s v="February"/>
  </r>
  <r>
    <s v="S-190"/>
    <s v="05/03/2026"/>
    <x v="0"/>
    <s v="Huile de Palme"/>
    <s v="AZUR"/>
    <s v="Garoua"/>
    <s v="10"/>
    <s v="1500"/>
    <s v="GAROUA"/>
    <s v="AZUR"/>
    <n v="15000"/>
    <s v="March"/>
  </r>
  <r>
    <s v="S-191"/>
    <s v="12/03/2026"/>
    <x v="1"/>
    <s v="Papier Toilette"/>
    <s v="LOTUS"/>
    <s v="Bafoussam"/>
    <s v="24"/>
    <s v="400"/>
    <s v="BAFOUSSAM"/>
    <s v="LOTUS"/>
    <n v="9600"/>
    <s v="March"/>
  </r>
  <r>
    <s v="S-192"/>
    <s v="20/03/2026"/>
    <x v="2"/>
    <s v="Soda"/>
    <s v="DJINO"/>
    <s v="Douala"/>
    <s v="12"/>
    <s v="600"/>
    <s v="DOUALA"/>
    <s v="DJINO"/>
    <n v="7200"/>
    <s v="March"/>
  </r>
  <r>
    <s v="S-193"/>
    <s v="28/03/2026"/>
    <x v="0"/>
    <s v="Pâtes 500g"/>
    <s v="PANZANI"/>
    <s v="Yaoundé"/>
    <s v="30"/>
    <s v="600"/>
    <s v="YAOUNDÉ"/>
    <s v="PANZANI"/>
    <n v="18000"/>
    <s v="March"/>
  </r>
  <r>
    <s v="S-194"/>
    <s v="05/04/2026"/>
    <x v="3"/>
    <s v="Dentifrice"/>
    <s v="COLGATE"/>
    <s v="Kribi"/>
    <s v="15"/>
    <s v="800"/>
    <s v="KRIBI"/>
    <s v="COLGATE"/>
    <n v="12000"/>
    <s v="April"/>
  </r>
  <r>
    <s v="S-195"/>
    <s v="12/04/2026"/>
    <x v="1"/>
    <s v="Désodorisant"/>
    <s v="AIRWICK"/>
    <s v="Garoua"/>
    <s v="10"/>
    <s v="1800"/>
    <s v="GAROUA"/>
    <s v="AIRWICK"/>
    <n v="18000"/>
    <s v="April"/>
  </r>
  <r>
    <s v="S-196"/>
    <s v="20/04/2026"/>
    <x v="2"/>
    <s v="Bière Mützig"/>
    <s v="SABC"/>
    <s v="Bafoussam"/>
    <s v="24"/>
    <s v="700"/>
    <s v="BAFOUSSAM"/>
    <s v="SABC"/>
    <n v="16800"/>
    <s v="April"/>
  </r>
  <r>
    <s v="S-197"/>
    <s v="28/04/2026"/>
    <x v="0"/>
    <s v="Sucre en Poudre"/>
    <s v="SOSUCAM"/>
    <s v="Douala"/>
    <s v="40"/>
    <s v="850"/>
    <s v="DOUALA"/>
    <s v="SOSUCAM"/>
    <n v="34000"/>
    <s v="April"/>
  </r>
  <r>
    <s v="S-198"/>
    <s v="05/05/2026"/>
    <x v="3"/>
    <s v="Gel Douche"/>
    <s v="CAMAY"/>
    <s v="Yaoundé"/>
    <s v="12"/>
    <s v="500"/>
    <s v="YAOUNDÉ"/>
    <s v="CAMAY"/>
    <n v="6000"/>
    <s v="May"/>
  </r>
  <r>
    <s v="S-199"/>
    <s v="12/05/2026"/>
    <x v="1"/>
    <s v="Liquide Vaisselle"/>
    <s v="PAIC"/>
    <s v="Garoua"/>
    <s v="6"/>
    <s v="1100"/>
    <s v="GAROUA"/>
    <s v="PAIC"/>
    <n v="6600"/>
    <s v="May"/>
  </r>
  <r>
    <s v="S-200"/>
    <s v="20/05/2026"/>
    <x v="2"/>
    <s v="Eau Minérale"/>
    <s v="TANGUI"/>
    <s v="Kribi"/>
    <s v="60"/>
    <s v="400"/>
    <s v="KRIBI"/>
    <s v="TANGUI"/>
    <n v="24000"/>
    <s v="May"/>
  </r>
  <r>
    <s v="S-201"/>
    <s v="05/06/2026"/>
    <x v="0"/>
    <s v="Riz Parfumé 5kg"/>
    <s v="NEÏMA"/>
    <s v="Douala"/>
    <s v="10"/>
    <s v="4500"/>
    <s v="DOUALA"/>
    <s v="NEÏMA"/>
    <n v="45000"/>
    <s v="June"/>
  </r>
  <r>
    <s v="S-202"/>
    <s v="12/06/2026"/>
    <x v="2"/>
    <s v="Top Pamplemousse"/>
    <s v="SABC"/>
    <s v="Yaoundé"/>
    <s v="24"/>
    <s v="600"/>
    <s v="YAOUNDÉ"/>
    <s v="SABC"/>
    <n v="14400"/>
    <s v="June"/>
  </r>
  <r>
    <s v="S-203"/>
    <s v="20/06/2026"/>
    <x v="1"/>
    <s v="Savon ménage"/>
    <s v="OMO"/>
    <s v="Garoua"/>
    <s v="15"/>
    <s v="1200"/>
    <s v="GAROUA"/>
    <s v="OMO"/>
    <n v="18000"/>
    <s v="June"/>
  </r>
  <r>
    <s v="S-204"/>
    <s v="28/06/2026"/>
    <x v="3"/>
    <s v="Lait de toilette"/>
    <s v="NIVEA"/>
    <s v="Bafoussam"/>
    <s v="5"/>
    <s v="3500"/>
    <s v="BAFOUSSAM"/>
    <s v="NIVEA"/>
    <n v="17500"/>
    <s v="June"/>
  </r>
  <r>
    <s v="S-205"/>
    <s v="05/07/2026"/>
    <x v="0"/>
    <s v="Huile Végétale"/>
    <s v="JADIDA"/>
    <s v="Kribi"/>
    <s v="8"/>
    <s v="1100"/>
    <s v="KRIBI"/>
    <s v="JADIDA"/>
    <n v="8800"/>
    <s v="July"/>
  </r>
  <r>
    <s v="S-206"/>
    <s v="14/07/2026"/>
    <x v="2"/>
    <s v="Eau Minérale 1.5L"/>
    <s v="TANGUI"/>
    <s v="Douala"/>
    <s v="40"/>
    <s v="400"/>
    <s v="DOUALA"/>
    <s v="TANGUI"/>
    <n v="16000"/>
    <s v="July"/>
  </r>
  <r>
    <s v="S-207"/>
    <s v="25/07/2026"/>
    <x v="3"/>
    <s v="Shampooing Doux"/>
    <s v="DOVE"/>
    <s v="Yaoundé"/>
    <s v="8"/>
    <s v="2500"/>
    <s v="YAOUNDÉ"/>
    <s v="DOVE"/>
    <n v="20000"/>
    <s v="July"/>
  </r>
  <r>
    <s v="S-208"/>
    <s v="02/08/2026"/>
    <x v="1"/>
    <s v="Javel 1L"/>
    <s v="LACROIX"/>
    <s v="Garoua"/>
    <s v="12"/>
    <s v="850"/>
    <s v="GAROUA"/>
    <s v="LACROIX"/>
    <n v="10200"/>
    <s v="August"/>
  </r>
  <r>
    <s v="S-209"/>
    <s v="12/08/2026"/>
    <x v="2"/>
    <s v="Bière Blonde"/>
    <s v="CASTEL"/>
    <s v="Bafoussam"/>
    <s v="24"/>
    <s v="650"/>
    <s v="BAFOUSSAM"/>
    <s v="CASTEL"/>
    <n v="15600"/>
    <s v="August"/>
  </r>
  <r>
    <s v="S-210"/>
    <s v="22/08/2026"/>
    <x v="0"/>
    <s v="Sucre en Poudre"/>
    <s v="SOSUCAM"/>
    <s v="Douala"/>
    <s v="15"/>
    <s v="850"/>
    <s v="DOUALA"/>
    <s v="SOSUCAM"/>
    <n v="12750"/>
    <s v="August"/>
  </r>
  <r>
    <s v="S-211"/>
    <s v="05/09/2026"/>
    <x v="3"/>
    <s v="Savon Toilette"/>
    <s v="CAMAY"/>
    <s v="Kribi"/>
    <s v="30"/>
    <s v="500"/>
    <s v="KRIBI"/>
    <s v="CAMAY"/>
    <n v="15000"/>
    <s v="September"/>
  </r>
  <r>
    <s v="S-212"/>
    <s v="15/09/2026"/>
    <x v="2"/>
    <s v="Jus d'Orange"/>
    <s v="RAUCH"/>
    <s v="Yaoundé"/>
    <s v="12"/>
    <s v="1200"/>
    <s v="YAOUNDÉ"/>
    <s v="RAUCH"/>
    <n v="14400"/>
    <s v="September"/>
  </r>
  <r>
    <s v="S-213"/>
    <s v="28/09/2026"/>
    <x v="0"/>
    <s v="Pâtes 500g"/>
    <s v="PANZANI"/>
    <s v="Douala"/>
    <s v="50"/>
    <s v="600"/>
    <s v="DOUALA"/>
    <s v="PANZANI"/>
    <n v="30000"/>
    <s v="September"/>
  </r>
  <r>
    <s v="S-214"/>
    <s v="05/10/2026"/>
    <x v="1"/>
    <s v="Sacs Poubelle"/>
    <s v="PROPRE"/>
    <s v="Garoua"/>
    <s v="15"/>
    <s v="1200"/>
    <s v="GAROUA"/>
    <s v="PROPRE"/>
    <n v="18000"/>
    <s v="October"/>
  </r>
  <r>
    <s v="S-215"/>
    <s v="14/10/2026"/>
    <x v="2"/>
    <s v="Soda 1.5L"/>
    <s v="TOP"/>
    <s v="Bafoussam"/>
    <s v="20"/>
    <s v="600"/>
    <s v="BAFOUSSAM"/>
    <s v="TOP"/>
    <n v="12000"/>
    <s v="October"/>
  </r>
  <r>
    <s v="S-216"/>
    <s v="25/10/2026"/>
    <x v="0"/>
    <s v="Farine de Maïs"/>
    <s v="TANTY"/>
    <s v="Kribi"/>
    <s v="10"/>
    <s v="950"/>
    <s v="KRIBI"/>
    <s v="TANTY"/>
    <n v="9500"/>
    <s v="October"/>
  </r>
  <r>
    <s v="S-217"/>
    <s v="02/11/2026"/>
    <x v="3"/>
    <s v="Dentifrice"/>
    <s v="COLGATE"/>
    <s v="Douala"/>
    <s v="12"/>
    <s v="800"/>
    <s v="DOUALA"/>
    <s v="COLGATE"/>
    <n v="9600"/>
    <s v="November"/>
  </r>
  <r>
    <s v="S-218"/>
    <s v="12/11/2026"/>
    <x v="2"/>
    <s v="Malta Quiness"/>
    <s v="GUINNESS"/>
    <s v="Yaoundé"/>
    <s v="36"/>
    <s v="650"/>
    <s v="YAOUNDÉ"/>
    <s v="GUINNESS"/>
    <n v="23400"/>
    <s v="November"/>
  </r>
  <r>
    <s v="S-219"/>
    <s v="22/11/2026"/>
    <x v="1"/>
    <s v="Liquide Vaisselle"/>
    <s v="PAIC"/>
    <s v="Garoua"/>
    <s v="6"/>
    <s v="1100"/>
    <s v="GAROUA"/>
    <s v="PAIC"/>
    <n v="6600"/>
    <s v="November"/>
  </r>
  <r>
    <s v="S-220"/>
    <s v="30/11/2026"/>
    <x v="0"/>
    <s v="Riz Long Grain"/>
    <s v="CIGALE"/>
    <s v="Bafoussam"/>
    <s v="5"/>
    <s v="3500"/>
    <s v="BAFOUSSAM"/>
    <s v="CIGALE"/>
    <n v="17500"/>
    <s v="November"/>
  </r>
  <r>
    <s v="S-221"/>
    <s v="05/12/2026"/>
    <x v="2"/>
    <s v="Bière Brune"/>
    <s v="GUINNESS"/>
    <s v="Douala"/>
    <s v="24"/>
    <s v="800"/>
    <s v="DOUALA"/>
    <s v="GUINNESS"/>
    <n v="19200"/>
    <s v="December"/>
  </r>
  <r>
    <s v="S-222"/>
    <s v="12/12/2026"/>
    <x v="0"/>
    <s v="Pâte à tartiner"/>
    <s v="CHOCOCAM"/>
    <s v="Yaoundé"/>
    <s v="10"/>
    <s v="1800"/>
    <s v="YAOUNDÉ"/>
    <s v="CHOCOCAM"/>
    <n v="18000"/>
    <s v="December"/>
  </r>
  <r>
    <s v="S-223"/>
    <s v="18/12/2026"/>
    <x v="2"/>
    <s v="Vin de Table"/>
    <s v="BVC"/>
    <s v="Garoua"/>
    <s v="6"/>
    <s v="4500"/>
    <s v="GAROUA"/>
    <s v="BVC"/>
    <n v="27000"/>
    <s v="December"/>
  </r>
  <r>
    <s v="S-224"/>
    <s v="24/12/2026"/>
    <x v="0"/>
    <s v="Dinde de Noël"/>
    <s v="AGROCAM"/>
    <s v="Douala"/>
    <s v="2"/>
    <s v="12500"/>
    <s v="DOUALA"/>
    <s v="AGROCAM"/>
    <n v="25000"/>
    <s v="December"/>
  </r>
  <r>
    <s v="S-225"/>
    <s v="30/12/2026"/>
    <x v="3"/>
    <s v="Gel Douche"/>
    <s v="DOVE"/>
    <s v="Bafoussam"/>
    <s v="12"/>
    <s v="2200"/>
    <s v="BAFOUSSAM"/>
    <s v="DOVE"/>
    <n v="26400"/>
    <s v="December"/>
  </r>
  <r>
    <s v="S-226"/>
    <s v="05/01/2026"/>
    <x v="1"/>
    <s v="Lessive Poudre"/>
    <s v="ARIEL"/>
    <s v="Kribi"/>
    <s v="4"/>
    <s v="4500"/>
    <s v="KRIBI"/>
    <s v="ARIEL"/>
    <n v="18000"/>
    <s v="January"/>
  </r>
  <r>
    <s v="S-227"/>
    <s v="12/01/2026"/>
    <x v="0"/>
    <s v="Sel de cuisine"/>
    <s v="UCV"/>
    <s v="Yaoundé"/>
    <s v="50"/>
    <s v="250"/>
    <s v="YAOUNDÉ"/>
    <s v="UCV"/>
    <n v="12500"/>
    <s v="January"/>
  </r>
  <r>
    <s v="S-228"/>
    <s v="20/01/2026"/>
    <x v="2"/>
    <s v="Eau Vive"/>
    <s v="SEME"/>
    <s v="Douala"/>
    <s v="40"/>
    <s v="350"/>
    <s v="DOUALA"/>
    <s v="SEME"/>
    <n v="14000"/>
    <s v="January"/>
  </r>
  <r>
    <s v="S-229"/>
    <s v="28/01/2026"/>
    <x v="3"/>
    <s v="Lait de Corps"/>
    <s v="TOPICREM"/>
    <s v="Garoua"/>
    <s v="3"/>
    <s v="8500"/>
    <s v="GAROUA"/>
    <s v="TOPICREM"/>
    <n v="25500"/>
    <s v="January"/>
  </r>
  <r>
    <s v="S-230"/>
    <s v="05/02/2026"/>
    <x v="1"/>
    <s v="Nettoyant Sol"/>
    <s v="AJAX"/>
    <s v="Bafoussam"/>
    <s v="8"/>
    <s v="1400"/>
    <s v="BAFOUSSAM"/>
    <s v="AJAX"/>
    <n v="11200"/>
    <s v="February"/>
  </r>
  <r>
    <s v="S-231"/>
    <s v="14/02/2026"/>
    <x v="0"/>
    <s v="Spaghetti"/>
    <s v="MAMAN"/>
    <s v="Douala"/>
    <s v="45"/>
    <s v="450"/>
    <s v="DOUALA"/>
    <s v="MAMAN"/>
    <n v="20250"/>
    <s v="February"/>
  </r>
  <r>
    <s v="S-232"/>
    <s v="25/02/2026"/>
    <x v="2"/>
    <s v="Vimto Canette"/>
    <s v="SABC"/>
    <s v="Yaoundé"/>
    <s v="24"/>
    <s v="500"/>
    <s v="YAOUNDÉ"/>
    <s v="SABC"/>
    <n v="12000"/>
    <s v="February"/>
  </r>
  <r>
    <s v="S-233"/>
    <s v="05/03/2026"/>
    <x v="3"/>
    <s v="Crème mains"/>
    <s v="MIXA"/>
    <s v="Garoua"/>
    <s v="5"/>
    <s v="2200"/>
    <s v="GAROUA"/>
    <s v="MIXA"/>
    <n v="11000"/>
    <s v="March"/>
  </r>
  <r>
    <s v="S-234"/>
    <s v="15/03/2026"/>
    <x v="1"/>
    <s v="Éponge Grattante"/>
    <s v="SCOTCH"/>
    <s v="Douala"/>
    <s v="30"/>
    <s v="300"/>
    <s v="DOUALA"/>
    <s v="SCOTCH"/>
    <n v="9000"/>
    <s v="March"/>
  </r>
  <r>
    <s v="S-235"/>
    <s v="25/03/2026"/>
    <x v="0"/>
    <s v="Mayonnaise"/>
    <s v="BAMA"/>
    <s v="Kribi"/>
    <s v="4"/>
    <s v="1800"/>
    <s v="KRIBI"/>
    <s v="BAMA"/>
    <n v="7200"/>
    <s v="March"/>
  </r>
  <r>
    <s v="S-236"/>
    <s v="02/04/2026"/>
    <x v="2"/>
    <s v="Top Orange"/>
    <s v="SABC"/>
    <s v="Bafoussam"/>
    <s v="20"/>
    <s v="600"/>
    <s v="BAFOUSSAM"/>
    <s v="SABC"/>
    <n v="12000"/>
    <s v="April"/>
  </r>
  <r>
    <s v="S-237"/>
    <s v="12/04/2026"/>
    <x v="0"/>
    <s v="Farine Blé"/>
    <s v="SGMC"/>
    <s v="Yaoundé"/>
    <s v="25"/>
    <s v="750"/>
    <s v="YAOUNDÉ"/>
    <s v="SGMC"/>
    <n v="18750"/>
    <s v="April"/>
  </r>
  <r>
    <s v="S-238"/>
    <s v="22/04/2026"/>
    <x v="3"/>
    <s v="Savon Noir"/>
    <s v="BIO"/>
    <s v="Douala"/>
    <s v="15"/>
    <s v="500"/>
    <s v="DOUALA"/>
    <s v="BIO"/>
    <n v="7500"/>
    <s v="April"/>
  </r>
  <r>
    <s v="S-239"/>
    <s v="30/04/2026"/>
    <x v="1"/>
    <s v="Désodorisant"/>
    <s v="AIRWICK"/>
    <s v="Garoua"/>
    <s v="10"/>
    <s v="1800"/>
    <s v="GAROUA"/>
    <s v="AIRWICK"/>
    <n v="18000"/>
    <s v="April"/>
  </r>
  <r>
    <s v="S-240"/>
    <s v="10/05/2026"/>
    <x v="2"/>
    <s v="Eau Minérale"/>
    <s v="TANGUI"/>
    <s v="Kribi"/>
    <s v="60"/>
    <s v="400"/>
    <s v="KRIBI"/>
    <s v="TANGUI"/>
    <n v="24000"/>
    <s v="May"/>
  </r>
  <r>
    <s v="S-241"/>
    <s v="20/05/2026"/>
    <x v="0"/>
    <s v="Sardines"/>
    <s v="CONNETABLE"/>
    <s v="Douala"/>
    <s v="30"/>
    <s v="600"/>
    <s v="DOUALA"/>
    <s v="CONNETABLE"/>
    <n v="18000"/>
    <s v="May"/>
  </r>
  <r>
    <s v="S-242"/>
    <s v="30/05/2026"/>
    <x v="3"/>
    <s v="Dentifrice Max"/>
    <s v="ORAL-B"/>
    <s v="Yaoundé"/>
    <s v="12"/>
    <s v="1500"/>
    <s v="YAOUNDÉ"/>
    <s v="ORAL-B"/>
    <n v="18000"/>
    <s v="May"/>
  </r>
  <r>
    <s v="S-243"/>
    <s v="05/06/2026"/>
    <x v="1"/>
    <s v="Essuie-tout"/>
    <s v="OKI"/>
    <s v="Garoua"/>
    <s v="20"/>
    <s v="1200"/>
    <s v="GAROUA"/>
    <s v="OKI"/>
    <n v="24000"/>
    <s v="June"/>
  </r>
  <r>
    <s v="S-244"/>
    <s v="15/06/2026"/>
    <x v="2"/>
    <s v="Soda"/>
    <s v="DJINO"/>
    <s v="Bafoussam"/>
    <s v="12"/>
    <s v="600"/>
    <s v="BAFOUSSAM"/>
    <s v="DJINO"/>
    <n v="7200"/>
    <s v="June"/>
  </r>
  <r>
    <s v="S-245"/>
    <s v="25/06/2026"/>
    <x v="0"/>
    <s v="Café Poudre"/>
    <s v="NESCAFE"/>
    <s v="Douala"/>
    <s v="6"/>
    <s v="3500"/>
    <s v="DOUALA"/>
    <s v="NESCAFE"/>
    <n v="21000"/>
    <s v="June"/>
  </r>
  <r>
    <s v="S-246"/>
    <s v="05/07/2026"/>
    <x v="3"/>
    <s v="Shampooing"/>
    <s v="DOVE"/>
    <s v="Kribi"/>
    <s v="4"/>
    <s v="2500"/>
    <s v="KRIBI"/>
    <s v="DOVE"/>
    <n v="10000"/>
    <s v="July"/>
  </r>
  <r>
    <s v="S-247"/>
    <s v="15/07/2026"/>
    <x v="2"/>
    <s v="Yaourt à boire"/>
    <s v="DOLAIT"/>
    <s v="Yaoundé"/>
    <s v="20"/>
    <s v="500"/>
    <s v="YAOUNDÉ"/>
    <s v="DOLAIT"/>
    <n v="10000"/>
    <s v="July"/>
  </r>
  <r>
    <s v="S-248"/>
    <s v="25/07/2026"/>
    <x v="1"/>
    <s v="Javel 1L"/>
    <s v="LACROIX"/>
    <s v="Douala"/>
    <s v="10"/>
    <s v="850"/>
    <s v="DOUALA"/>
    <s v="LACROIX"/>
    <n v="8500"/>
    <s v="July"/>
  </r>
  <r>
    <s v="S-249"/>
    <s v="05/08/2026"/>
    <x v="0"/>
    <s v="Huile de Palme"/>
    <s v="AZUR"/>
    <s v="Garoua"/>
    <s v="5"/>
    <s v="1500"/>
    <s v="GAROUA"/>
    <s v="AZUR"/>
    <n v="7500"/>
    <s v="August"/>
  </r>
  <r>
    <s v="S-250"/>
    <s v="15/08/2026"/>
    <x v="2"/>
    <s v="Mützig Canette"/>
    <s v="SABC"/>
    <s v="Bafoussam"/>
    <s v="36"/>
    <s v="700"/>
    <s v="BAFOUSSAM"/>
    <s v="SABC"/>
    <n v="25200"/>
    <s v="August"/>
  </r>
  <r>
    <s v="S-251"/>
    <s v="25/08/2026"/>
    <x v="0"/>
    <s v="Riz Long Grain"/>
    <s v="CIGALE"/>
    <s v="Douala"/>
    <s v="10"/>
    <s v="3500"/>
    <s v="DOUALA"/>
    <s v="CIGALE"/>
    <n v="35000"/>
    <s v="August"/>
  </r>
  <r>
    <s v="S-252"/>
    <s v="05/09/2026"/>
    <x v="3"/>
    <s v="Savon Toilette"/>
    <s v="CAMAY"/>
    <s v="Yaoundé"/>
    <s v="12"/>
    <s v="500"/>
    <s v="YAOUNDÉ"/>
    <s v="CAMAY"/>
    <n v="6000"/>
    <s v="September"/>
  </r>
  <r>
    <s v="S-253"/>
    <s v="15/09/2026"/>
    <x v="2"/>
    <s v="Limonade"/>
    <s v="KADJI"/>
    <s v="Garoua"/>
    <s v="20"/>
    <s v="700"/>
    <s v="GAROUA"/>
    <s v="KADJI"/>
    <n v="14000"/>
    <s v="September"/>
  </r>
  <r>
    <s v="S-254"/>
    <s v="25/09/2026"/>
    <x v="1"/>
    <s v="Nettoyant Vitres"/>
    <s v="AJAX"/>
    <s v="Douala"/>
    <s v="10"/>
    <s v="1400"/>
    <s v="DOUALA"/>
    <s v="AJAX"/>
    <n v="14000"/>
    <s v="September"/>
  </r>
  <r>
    <s v="S-255"/>
    <s v="05/10/2026"/>
    <x v="0"/>
    <s v="Chocolat Tartiner"/>
    <s v="TARTINA"/>
    <s v="Kribi"/>
    <s v="6"/>
    <s v="2500"/>
    <s v="KRIBI"/>
    <s v="TARTINA"/>
    <n v="15000"/>
    <s v="October"/>
  </r>
  <r>
    <s v="S-256"/>
    <s v="15/10/2026"/>
    <x v="2"/>
    <s v="Bière Blonde"/>
    <s v="CASTEL"/>
    <s v="Yaoundé"/>
    <s v="24"/>
    <s v="650"/>
    <s v="YAOUNDÉ"/>
    <s v="CASTEL"/>
    <n v="15600"/>
    <s v="October"/>
  </r>
  <r>
    <s v="S-257"/>
    <s v="25/10/2026"/>
    <x v="0"/>
    <s v="Pâtes 500g"/>
    <s v="PANZANI"/>
    <s v="Douala"/>
    <s v="30"/>
    <s v="600"/>
    <s v="DOUALA"/>
    <s v="PANZANI"/>
    <n v="18000"/>
    <s v="October"/>
  </r>
  <r>
    <s v="S-258"/>
    <s v="05/11/2026"/>
    <x v="3"/>
    <s v="Lotion Corps"/>
    <s v="NIVEA"/>
    <s v="Garoua"/>
    <s v="8"/>
    <s v="3200"/>
    <s v="GAROUA"/>
    <s v="NIVEA"/>
    <n v="25600"/>
    <s v="November"/>
  </r>
  <r>
    <s v="S-259"/>
    <s v="15/11/2026"/>
    <x v="2"/>
    <s v="Eau Gazeuse"/>
    <s v="SABC"/>
    <s v="Bafoussam"/>
    <s v="30"/>
    <s v="600"/>
    <s v="BAFOUSSAM"/>
    <s v="SABC"/>
    <n v="18000"/>
    <s v="November"/>
  </r>
  <r>
    <s v="S-260"/>
    <s v="25/11/2026"/>
    <x v="1"/>
    <s v="Sacs Poubelle"/>
    <s v="PROPRE"/>
    <s v="Douala"/>
    <s v="20"/>
    <s v="1200"/>
    <s v="DOUALA"/>
    <s v="PROPRE"/>
    <n v="24000"/>
    <s v="November"/>
  </r>
  <r>
    <s v="S-261"/>
    <s v="02/12/2026"/>
    <x v="0"/>
    <s v="Beurre de Table"/>
    <s v="JADIDA"/>
    <s v="Yaoundé"/>
    <s v="12"/>
    <s v="1200"/>
    <s v="YAOUNDÉ"/>
    <s v="JADIDA"/>
    <n v="14400"/>
    <s v="December"/>
  </r>
  <r>
    <s v="S-262"/>
    <s v="08/12/2026"/>
    <x v="2"/>
    <s v="Jus de Fruits"/>
    <s v="TOP"/>
    <s v="Garoua"/>
    <s v="15"/>
    <s v="600"/>
    <s v="GAROUA"/>
    <s v="TOP"/>
    <n v="9000"/>
    <s v="December"/>
  </r>
  <r>
    <s v="S-263"/>
    <s v="15/12/2026"/>
    <x v="3"/>
    <s v="Parfum de luxe"/>
    <s v="CHANEL"/>
    <s v="Douala"/>
    <s v="1"/>
    <s v="75000"/>
    <s v="DOUALA"/>
    <s v="CHANEL"/>
    <n v="75000"/>
    <s v="December"/>
  </r>
  <r>
    <s v="S-264"/>
    <s v="20/12/2026"/>
    <x v="0"/>
    <s v="Sucre en Poudre"/>
    <s v="SOSUCAM"/>
    <s v="Kribi"/>
    <s v="25"/>
    <s v="850"/>
    <s v="KRIBI"/>
    <s v="SOSUCAM"/>
    <n v="21250"/>
    <s v="December"/>
  </r>
  <r>
    <s v="S-265"/>
    <s v="24/12/2026"/>
    <x v="2"/>
    <s v="Whisky Premium"/>
    <s v="CHIVAS"/>
    <s v="Yaoundé"/>
    <s v="2"/>
    <s v="35000"/>
    <s v="YAOUNDÉ"/>
    <s v="CHIVAS"/>
    <n v="70000"/>
    <s v="December"/>
  </r>
  <r>
    <s v="S-266"/>
    <s v="28/12/2026"/>
    <x v="1"/>
    <s v="Lessive Liquide"/>
    <s v="MADAR"/>
    <s v="Douala"/>
    <s v="5"/>
    <s v="1200"/>
    <s v="DOUALA"/>
    <s v="MADAR"/>
    <n v="6000"/>
    <s v="December"/>
  </r>
  <r>
    <s v="S-267"/>
    <s v="30/12/2026"/>
    <x v="0"/>
    <s v="Farine Blé"/>
    <s v="SGMC"/>
    <s v="Garoua"/>
    <s v="20"/>
    <s v="750"/>
    <s v="GAROUA"/>
    <s v="SGMC"/>
    <n v="15000"/>
    <s v="December"/>
  </r>
  <r>
    <s v="S-268"/>
    <s v="02/01/2026"/>
    <x v="2"/>
    <s v="Eau Minérale"/>
    <s v="SUPERMONT"/>
    <s v="Bafoussam"/>
    <s v="50"/>
    <s v="250"/>
    <s v="BAFOUSSAM"/>
    <s v="SUPERMONT"/>
    <n v="12500"/>
    <s v="January"/>
  </r>
  <r>
    <s v="S-269"/>
    <s v="10/01/2026"/>
    <x v="3"/>
    <s v="Dentifrice Max"/>
    <s v="ORAL-B"/>
    <s v="Douala"/>
    <s v="12"/>
    <s v="1500"/>
    <s v="DOUALA"/>
    <s v="ORAL-B"/>
    <n v="18000"/>
    <s v="January"/>
  </r>
  <r>
    <s v="S-270"/>
    <s v="15/01/2026"/>
    <x v="0"/>
    <s v="Miel Naturel"/>
    <s v="VITA"/>
    <s v="Yaoundé"/>
    <s v="4"/>
    <s v="3500"/>
    <s v="YAOUNDÉ"/>
    <s v="VITA"/>
    <n v="14000"/>
    <s v="January"/>
  </r>
  <r>
    <m/>
    <m/>
    <x v="4"/>
    <m/>
    <m/>
    <m/>
    <m/>
    <m/>
    <m/>
    <m/>
    <m/>
    <m/>
  </r>
  <r>
    <m/>
    <m/>
    <x v="4"/>
    <m/>
    <m/>
    <m/>
    <m/>
    <m/>
    <m/>
    <m/>
    <m/>
    <m/>
  </r>
  <r>
    <m/>
    <m/>
    <x v="4"/>
    <m/>
    <m/>
    <m/>
    <m/>
    <m/>
    <m/>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0">
  <r>
    <s v="S-001"/>
    <s v="05/01/2026"/>
    <s v="Alimentaire"/>
    <s v="Riz Parfumé 5kg"/>
    <s v="Neïma"/>
    <x v="0"/>
    <x v="0"/>
    <s v="4500"/>
    <s v="DOUALA"/>
    <s v="NEÏMA"/>
    <n v="45000"/>
    <s v="January"/>
  </r>
  <r>
    <s v="S-002"/>
    <s v="12/01/2026"/>
    <s v="Entretien"/>
    <s v="Savon ménage"/>
    <s v="OMO"/>
    <x v="1"/>
    <x v="1"/>
    <s v="1200"/>
    <s v="YAOUNDÉ"/>
    <s v="OMO"/>
    <n v="6000"/>
    <s v="January"/>
  </r>
  <r>
    <s v="S-003"/>
    <s v="15/01/2026"/>
    <s v="Boissons"/>
    <s v="Eau Minérale 1.5L"/>
    <s v="TANGUI"/>
    <x v="2"/>
    <x v="2"/>
    <s v="400"/>
    <s v="GAROUA"/>
    <s v="TANGUI"/>
    <n v="8000"/>
    <s v="January"/>
  </r>
  <r>
    <s v="S-004"/>
    <s v="22/01/2026"/>
    <s v="Beauté"/>
    <s v="Lait de toilette"/>
    <s v="NIVEA"/>
    <x v="3"/>
    <x v="3"/>
    <s v="3500"/>
    <s v="BAFOUSSAM"/>
    <s v="NIVEA"/>
    <n v="7000"/>
    <s v="January"/>
  </r>
  <r>
    <s v="S-005"/>
    <s v="02/02/2026"/>
    <s v="Boissons"/>
    <s v="Jus de fruits"/>
    <s v="TOP"/>
    <x v="0"/>
    <x v="4"/>
    <s v="600"/>
    <s v="DOUALA"/>
    <s v="TOP"/>
    <n v="9000"/>
    <s v="February"/>
  </r>
  <r>
    <s v="S-006"/>
    <s v="14/02/2026"/>
    <s v="Alimentaire"/>
    <s v="Huile Végétale"/>
    <s v="JADIDA"/>
    <x v="1"/>
    <x v="5"/>
    <s v="1100"/>
    <s v="YAOUNDÉ"/>
    <s v="JADIDA"/>
    <n v="8800"/>
    <s v="February"/>
  </r>
  <r>
    <s v="S-007"/>
    <s v="25/02/2026"/>
    <s v="Entretien"/>
    <s v="Javel 1L"/>
    <s v="LACROIX"/>
    <x v="4"/>
    <x v="6"/>
    <s v="850"/>
    <s v="KRIBI"/>
    <s v="LACROIX"/>
    <n v="3400"/>
    <s v="February"/>
  </r>
  <r>
    <s v="S-008"/>
    <s v="05/03/2026"/>
    <s v="Boissons"/>
    <s v="Bière Blonde"/>
    <s v="CASTEL"/>
    <x v="0"/>
    <x v="7"/>
    <s v="650"/>
    <s v="DOUALA"/>
    <s v="CASTEL"/>
    <n v="15600"/>
    <s v="March"/>
  </r>
  <r>
    <s v="S-009"/>
    <s v="15/03/2026"/>
    <s v="Beauté"/>
    <s v="Savon Toilette"/>
    <s v="CAMAY"/>
    <x v="2"/>
    <x v="8"/>
    <s v="500"/>
    <s v="GAROUA"/>
    <s v="CAMAY"/>
    <n v="6000"/>
    <s v="March"/>
  </r>
  <r>
    <s v="S-010"/>
    <s v="30/03/2026"/>
    <s v="Alimentaire"/>
    <s v="Pâtes 500g"/>
    <s v="PANZANI"/>
    <x v="1"/>
    <x v="2"/>
    <s v="600"/>
    <s v="YAOUNDÉ"/>
    <s v="PANZANI"/>
    <n v="12000"/>
    <s v="March"/>
  </r>
  <r>
    <s v="S-011"/>
    <s v="04/04/2026"/>
    <s v="Boissons"/>
    <s v="Vin Rouge"/>
    <s v="BVC"/>
    <x v="4"/>
    <x v="9"/>
    <s v="4500"/>
    <s v="KRIBI"/>
    <s v="BVC"/>
    <n v="13500"/>
    <s v="April"/>
  </r>
  <r>
    <s v="S-012"/>
    <s v="12/04/2026"/>
    <s v="Entretien"/>
    <s v="Liquide Vaisselle"/>
    <s v="PAIC"/>
    <x v="3"/>
    <x v="10"/>
    <s v="1100"/>
    <s v="BAFOUSSAM"/>
    <s v="PAIC"/>
    <n v="6600"/>
    <s v="April"/>
  </r>
  <r>
    <s v="S-013"/>
    <s v="25/04/2026"/>
    <s v="Alimentaire"/>
    <s v="Sucre en poudre"/>
    <s v="SOSUCAM"/>
    <x v="0"/>
    <x v="4"/>
    <s v="850"/>
    <s v="DOUALA"/>
    <s v="SOSUCAM"/>
    <n v="12750"/>
    <s v="April"/>
  </r>
  <r>
    <s v="S-014"/>
    <s v="02/05/2026"/>
    <s v="Boissons"/>
    <s v="Eau Vive"/>
    <s v="SEME"/>
    <x v="2"/>
    <x v="11"/>
    <s v="350"/>
    <s v="GAROUA"/>
    <s v="SEME"/>
    <n v="14000"/>
    <s v="May"/>
  </r>
  <r>
    <s v="S-015"/>
    <s v="14/05/2026"/>
    <s v="Beauté"/>
    <s v="Shampooing"/>
    <s v="DOVE"/>
    <x v="1"/>
    <x v="6"/>
    <s v="2500"/>
    <s v="YAOUNDÉ"/>
    <s v="DOVE"/>
    <n v="10000"/>
    <s v="May"/>
  </r>
  <r>
    <s v="S-016"/>
    <s v="28/05/2026"/>
    <s v="Entretien"/>
    <s v="Désodorisant"/>
    <s v="AIRWICK"/>
    <x v="0"/>
    <x v="0"/>
    <s v="1800"/>
    <s v="DOUALA"/>
    <s v="AIRWICK"/>
    <n v="18000"/>
    <s v="May"/>
  </r>
  <r>
    <s v="S-017"/>
    <s v="05/06/2026"/>
    <s v="Alimentaire"/>
    <s v="Sardines"/>
    <s v="CONNETABLE"/>
    <x v="4"/>
    <x v="12"/>
    <s v="600"/>
    <s v="KRIBI"/>
    <s v="CONNETABLE"/>
    <n v="18000"/>
    <s v="June"/>
  </r>
  <r>
    <s v="S-018"/>
    <s v="15/06/2026"/>
    <s v="Boissons"/>
    <s v="Soda"/>
    <s v="DJINO"/>
    <x v="3"/>
    <x v="8"/>
    <s v="600"/>
    <s v="BAFOUSSAM"/>
    <s v="DJINO"/>
    <n v="7200"/>
    <s v="June"/>
  </r>
  <r>
    <s v="S-019"/>
    <s v="02/07/2026"/>
    <s v="Alimentaire"/>
    <s v="Farine Blé"/>
    <s v="SGMC"/>
    <x v="0"/>
    <x v="13"/>
    <s v="750"/>
    <s v="DOUALA"/>
    <s v="SGMC"/>
    <n v="18750"/>
    <s v="July"/>
  </r>
  <r>
    <s v="S-020"/>
    <s v="14/07/2026"/>
    <s v="Entretien"/>
    <s v="Lessive Poudre"/>
    <s v="ARIEL"/>
    <x v="1"/>
    <x v="9"/>
    <s v="4500"/>
    <s v="YAOUNDÉ"/>
    <s v="ARIEL"/>
    <n v="13500"/>
    <s v="July"/>
  </r>
  <r>
    <s v="S-021"/>
    <s v="22/07/2026"/>
    <s v="Beauté"/>
    <s v="Dentifrice"/>
    <s v="COLGATE"/>
    <x v="2"/>
    <x v="0"/>
    <s v="800"/>
    <s v="GAROUA"/>
    <s v="COLGATE"/>
    <n v="8000"/>
    <s v="July"/>
  </r>
  <r>
    <s v="S-022"/>
    <s v="05/08/2026"/>
    <s v="Boissons"/>
    <s v="Yaourt à boire"/>
    <s v="DOLAIT"/>
    <x v="0"/>
    <x v="2"/>
    <s v="500"/>
    <s v="DOUALA"/>
    <s v="DOLAIT"/>
    <n v="10000"/>
    <s v="August"/>
  </r>
  <r>
    <s v="S-023"/>
    <s v="12/08/2026"/>
    <s v="Alimentaire"/>
    <s v="Sel de cuisine"/>
    <s v="UCV"/>
    <x v="1"/>
    <x v="14"/>
    <s v="250"/>
    <s v="YAOUNDÉ"/>
    <s v="UCV"/>
    <n v="12500"/>
    <s v="August"/>
  </r>
  <r>
    <s v="S-024"/>
    <s v="25/08/2026"/>
    <s v="Entretien"/>
    <s v="Éponge vaisselle"/>
    <s v="SCOTCH"/>
    <x v="4"/>
    <x v="8"/>
    <s v="300"/>
    <s v="KRIBI"/>
    <s v="SCOTCH"/>
    <n v="3600"/>
    <s v="August"/>
  </r>
  <r>
    <s v="S-025"/>
    <s v="02/09/2026"/>
    <s v="Boissons"/>
    <s v="Canette Soda"/>
    <s v="VIMTO"/>
    <x v="3"/>
    <x v="7"/>
    <s v="500"/>
    <s v="BAFOUSSAM"/>
    <s v="VIMTO"/>
    <n v="12000"/>
    <s v="September"/>
  </r>
  <r>
    <s v="S-026"/>
    <s v="14/09/2026"/>
    <s v="Beauté"/>
    <s v="Crème mains"/>
    <s v="MIXA"/>
    <x v="0"/>
    <x v="1"/>
    <s v="2200"/>
    <s v="DOUALA"/>
    <s v="MIXA"/>
    <n v="11000"/>
    <s v="September"/>
  </r>
  <r>
    <s v="S-027"/>
    <s v="28/09/2026"/>
    <s v="Alimentaire"/>
    <s v="Mayonnaise"/>
    <s v="BAMA"/>
    <x v="1"/>
    <x v="6"/>
    <s v="1800"/>
    <s v="YAOUNDÉ"/>
    <s v="BAMA"/>
    <n v="7200"/>
    <s v="September"/>
  </r>
  <r>
    <s v="S-028"/>
    <s v="05/10/2026"/>
    <s v="Boissons"/>
    <s v="Whisky"/>
    <s v="BLACK LABEL"/>
    <x v="0"/>
    <x v="3"/>
    <s v="25000"/>
    <s v="DOUALA"/>
    <s v="BLACK LABEL"/>
    <n v="50000"/>
    <s v="October"/>
  </r>
  <r>
    <s v="S-029"/>
    <s v="12/10/2026"/>
    <s v="Entretien"/>
    <s v="Nettoyant sol"/>
    <s v="AJAX"/>
    <x v="2"/>
    <x v="5"/>
    <s v="1400"/>
    <s v="GAROUA"/>
    <s v="AJAX"/>
    <n v="11200"/>
    <s v="October"/>
  </r>
  <r>
    <s v="S-030"/>
    <s v="25/10/2026"/>
    <s v="Alimentaire"/>
    <s v="Chocolat tartiner"/>
    <s v="TARTINA"/>
    <x v="4"/>
    <x v="10"/>
    <s v="2500"/>
    <s v="KRIBI"/>
    <s v="TARTINA"/>
    <n v="15000"/>
    <s v="October"/>
  </r>
  <r>
    <s v="S-031"/>
    <s v="02/11/2026"/>
    <s v="Beauté"/>
    <s v="Déodorant"/>
    <s v="AXE"/>
    <x v="3"/>
    <x v="0"/>
    <s v="2800"/>
    <s v="BAFOUSSAM"/>
    <s v="AXE"/>
    <n v="28000"/>
    <s v="November"/>
  </r>
  <r>
    <s v="S-032"/>
    <s v="14/11/2026"/>
    <s v="Boissons"/>
    <s v="Limonade"/>
    <s v="KADJI"/>
    <x v="1"/>
    <x v="4"/>
    <s v="700"/>
    <s v="YAOUNDÉ"/>
    <s v="KADJI"/>
    <n v="10500"/>
    <s v="November"/>
  </r>
  <r>
    <s v="S-033"/>
    <s v="28/11/2026"/>
    <s v="Alimentaire"/>
    <s v="Conserve Tomate"/>
    <s v="REGINA"/>
    <x v="0"/>
    <x v="8"/>
    <s v="450"/>
    <s v="DOUALA"/>
    <s v="REGINA"/>
    <n v="5400"/>
    <s v="November"/>
  </r>
  <r>
    <s v="S-034"/>
    <s v="05/12/2026"/>
    <s v="Entretien"/>
    <s v="Sac poubelle"/>
    <s v="PROPRE"/>
    <x v="2"/>
    <x v="2"/>
    <s v="1200"/>
    <s v="GAROUA"/>
    <s v="PROPRE"/>
    <n v="24000"/>
    <s v="December"/>
  </r>
  <r>
    <s v="S-035"/>
    <s v="15/12/2026"/>
    <s v="Boissons"/>
    <s v="Champagne"/>
    <s v="MOET"/>
    <x v="0"/>
    <x v="15"/>
    <s v="45000"/>
    <s v="DOUALA"/>
    <s v="MOET"/>
    <n v="45000"/>
    <s v="December"/>
  </r>
  <r>
    <s v="S-036"/>
    <s v="20/12/2026"/>
    <s v="Alimentaire"/>
    <s v="Poulet surgelé"/>
    <s v="AGROCAM"/>
    <x v="1"/>
    <x v="1"/>
    <s v="3500"/>
    <s v="YAOUNDÉ"/>
    <s v="AGROCAM"/>
    <n v="17500"/>
    <s v="December"/>
  </r>
  <r>
    <s v="S-037"/>
    <s v="24/12/2026"/>
    <s v="Beauté"/>
    <s v="Coffret Parfum"/>
    <s v="DIOR"/>
    <x v="4"/>
    <x v="3"/>
    <s v="55000"/>
    <s v="KRIBI"/>
    <s v="DIOR"/>
    <n v="110000"/>
    <s v="December"/>
  </r>
  <r>
    <s v="S-038"/>
    <s v="30/12/2026"/>
    <s v="Boissons"/>
    <s v="Bière Brune"/>
    <s v="GUINNESS"/>
    <x v="0"/>
    <x v="8"/>
    <s v="800"/>
    <s v="DOUALA"/>
    <s v="GUINNESS"/>
    <n v="9600"/>
    <s v="December"/>
  </r>
  <r>
    <s v="S-039"/>
    <s v="05/01/2026"/>
    <s v="Boissons"/>
    <s v="Top Pamplemousse"/>
    <s v="SABC"/>
    <x v="0"/>
    <x v="2"/>
    <s v="600"/>
    <s v="DOUALA"/>
    <s v="SABC"/>
    <n v="12000"/>
    <s v="January"/>
  </r>
  <r>
    <s v="S-040"/>
    <s v="10/01/2026"/>
    <s v="Alimentaire"/>
    <s v="Huile de Palme"/>
    <s v="AZUR"/>
    <x v="1"/>
    <x v="1"/>
    <s v="1500"/>
    <s v="YAOUNDÉ"/>
    <s v="AZUR"/>
    <n v="7500"/>
    <s v="January"/>
  </r>
  <r>
    <s v="S-041"/>
    <s v="15/01/2026"/>
    <s v="Entretien"/>
    <s v="Eau de Javel"/>
    <s v="LACROIX"/>
    <x v="2"/>
    <x v="8"/>
    <s v="850"/>
    <s v="GAROUA"/>
    <s v="LACROIX"/>
    <n v="10200"/>
    <s v="January"/>
  </r>
  <r>
    <s v="S-042"/>
    <s v="20/01/2026"/>
    <s v="Beauté"/>
    <s v="Savon Noir"/>
    <s v="BIO"/>
    <x v="3"/>
    <x v="4"/>
    <s v="500"/>
    <s v="BAFOUSSAM"/>
    <s v="BIO"/>
    <n v="7500"/>
    <s v="January"/>
  </r>
  <r>
    <s v="S-043"/>
    <s v="25/01/2026"/>
    <s v="Boissons"/>
    <s v="Malta Quiness"/>
    <s v="GUINNESS"/>
    <x v="0"/>
    <x v="7"/>
    <s v="650"/>
    <s v="DOUALA"/>
    <s v="GUINNESS"/>
    <n v="15600"/>
    <s v="January"/>
  </r>
  <r>
    <s v="S-044"/>
    <s v="02/02/2026"/>
    <s v="Alimentaire"/>
    <s v="Spaghetti"/>
    <s v="MAMAN"/>
    <x v="4"/>
    <x v="11"/>
    <s v="450"/>
    <s v="KRIBI"/>
    <s v="MAMAN"/>
    <n v="18000"/>
    <s v="February"/>
  </r>
  <r>
    <s v="S-045"/>
    <s v="10/02/2026"/>
    <s v="Boissons"/>
    <s v="Vimto Canette"/>
    <s v="SABC"/>
    <x v="1"/>
    <x v="12"/>
    <s v="500"/>
    <s v="YAOUNDÉ"/>
    <s v="SABC"/>
    <n v="15000"/>
    <s v="February"/>
  </r>
  <r>
    <s v="S-046"/>
    <s v="14/02/2026"/>
    <s v="Beauté"/>
    <s v="Parfum de luxe"/>
    <s v="CHANEL"/>
    <x v="0"/>
    <x v="15"/>
    <s v="75000"/>
    <s v="DOUALA"/>
    <s v="CHANEL"/>
    <n v="75000"/>
    <s v="February"/>
  </r>
  <r>
    <s v="S-047"/>
    <s v="20/02/2026"/>
    <s v="Entretien"/>
    <s v="Détergent Poudre"/>
    <s v="MADAR"/>
    <x v="2"/>
    <x v="0"/>
    <s v="1200"/>
    <s v="GAROUA"/>
    <s v="MADAR"/>
    <n v="12000"/>
    <s v="February"/>
  </r>
  <r>
    <s v="S-048"/>
    <s v="28/02/2026"/>
    <s v="Alimentaire"/>
    <s v="Cube Crevette"/>
    <s v="MAGGI"/>
    <x v="3"/>
    <x v="16"/>
    <s v="25"/>
    <s v="BAFOUSSAM"/>
    <s v="MAGGI"/>
    <n v="2500"/>
    <s v="February"/>
  </r>
  <r>
    <s v="S-049"/>
    <s v="05/03/2026"/>
    <s v="Boissons"/>
    <s v="Eau Minérale 0.5L"/>
    <s v="SUPERMONT"/>
    <x v="4"/>
    <x v="14"/>
    <s v="250"/>
    <s v="KRIBI"/>
    <s v="SUPERMONT"/>
    <n v="12500"/>
    <s v="March"/>
  </r>
  <r>
    <s v="S-050"/>
    <s v="12/03/2026"/>
    <s v="Alimentaire"/>
    <s v="Farine de Maïs"/>
    <s v="TANTY"/>
    <x v="0"/>
    <x v="4"/>
    <s v="950"/>
    <s v="DOUALA"/>
    <s v="TANTY"/>
    <n v="14250"/>
    <s v="March"/>
  </r>
  <r>
    <s v="S-051"/>
    <s v="20/03/2026"/>
    <s v="Boissons"/>
    <s v="Bière Isenbeck"/>
    <s v="SABC"/>
    <x v="1"/>
    <x v="8"/>
    <s v="700"/>
    <s v="YAOUNDÉ"/>
    <s v="SABC"/>
    <n v="8400"/>
    <s v="March"/>
  </r>
  <r>
    <s v="S-052"/>
    <s v="28/03/2026"/>
    <s v="Beauté"/>
    <s v="Lait de Corps"/>
    <s v="TOPICREM"/>
    <x v="2"/>
    <x v="9"/>
    <s v="8500"/>
    <s v="GAROUA"/>
    <s v="TOPICREM"/>
    <n v="25500"/>
    <s v="March"/>
  </r>
  <r>
    <s v="S-053"/>
    <s v="02/04/2026"/>
    <s v="Entretien"/>
    <s v="Nettoyant Vitres"/>
    <s v="AJAX"/>
    <x v="0"/>
    <x v="10"/>
    <s v="1400"/>
    <s v="DOUALA"/>
    <s v="AJAX"/>
    <n v="8400"/>
    <s v="April"/>
  </r>
  <r>
    <s v="S-054"/>
    <s v="10/04/2026"/>
    <s v="Alimentaire"/>
    <s v="Café en poudre"/>
    <s v="NESCAFE"/>
    <x v="3"/>
    <x v="5"/>
    <s v="3500"/>
    <s v="BAFOUSSAM"/>
    <s v="NESCAFE"/>
    <n v="28000"/>
    <s v="April"/>
  </r>
  <r>
    <s v="S-055"/>
    <s v="15/04/2026"/>
    <s v="Boissons"/>
    <s v="Jus d'Orange"/>
    <s v="RAUCH"/>
    <x v="4"/>
    <x v="0"/>
    <s v="1200"/>
    <s v="KRIBI"/>
    <s v="RAUCH"/>
    <n v="12000"/>
    <s v="April"/>
  </r>
  <r>
    <s v="S-056"/>
    <s v="22/04/2026"/>
    <s v="Alimentaire"/>
    <s v="Lait en poudre"/>
    <s v="NIDO"/>
    <x v="1"/>
    <x v="1"/>
    <s v="6500"/>
    <s v="YAOUNDÉ"/>
    <s v="NIDO"/>
    <n v="32500"/>
    <s v="April"/>
  </r>
  <r>
    <s v="S-057"/>
    <s v="30/04/2026"/>
    <s v="Entretien"/>
    <s v="Papier Toilette"/>
    <s v="LOTUS"/>
    <x v="0"/>
    <x v="7"/>
    <s v="400"/>
    <s v="DOUALA"/>
    <s v="LOTUS"/>
    <n v="9600"/>
    <s v="April"/>
  </r>
  <r>
    <s v="S-058"/>
    <s v="05/05/2026"/>
    <s v="Boissons"/>
    <s v="Coca Cola 1.5L"/>
    <s v="SABC"/>
    <x v="2"/>
    <x v="4"/>
    <s v="1100"/>
    <s v="GAROUA"/>
    <s v="SABC"/>
    <n v="16500"/>
    <s v="May"/>
  </r>
  <r>
    <s v="S-059"/>
    <s v="12/05/2026"/>
    <s v="Beauté"/>
    <s v="Dentifrice Max"/>
    <s v="ORAL-B"/>
    <x v="3"/>
    <x v="8"/>
    <s v="1500"/>
    <s v="BAFOUSSAM"/>
    <s v="ORAL-B"/>
    <n v="18000"/>
    <s v="May"/>
  </r>
  <r>
    <s v="S-060"/>
    <s v="20/05/2026"/>
    <s v="Alimentaire"/>
    <s v="Thé infusé"/>
    <s v="LIPTON"/>
    <x v="4"/>
    <x v="2"/>
    <s v="1200"/>
    <s v="KRIBI"/>
    <s v="LIPTON"/>
    <n v="24000"/>
    <s v="May"/>
  </r>
  <r>
    <s v="S-061"/>
    <s v="02/06/2026"/>
    <s v="Boissons"/>
    <s v="Jus d'Ananas"/>
    <s v="RAUCH"/>
    <x v="0"/>
    <x v="8"/>
    <s v="1100"/>
    <s v="DOUALA"/>
    <s v="RAUCH"/>
    <n v="13200"/>
    <s v="June"/>
  </r>
  <r>
    <s v="S-062"/>
    <s v="10/06/2026"/>
    <s v="Alimentaire"/>
    <s v="Arôme Liquide"/>
    <s v="MAGGI"/>
    <x v="1"/>
    <x v="13"/>
    <s v="650"/>
    <s v="YAOUNDÉ"/>
    <s v="MAGGI"/>
    <n v="16250"/>
    <s v="June"/>
  </r>
  <r>
    <s v="S-063"/>
    <s v="15/06/2026"/>
    <s v="Entretien"/>
    <s v="Désodorisant"/>
    <s v="AIRWICK"/>
    <x v="2"/>
    <x v="10"/>
    <s v="2200"/>
    <s v="GAROUA"/>
    <s v="AIRWICK"/>
    <n v="13200"/>
    <s v="June"/>
  </r>
  <r>
    <s v="S-064"/>
    <s v="22/06/2026"/>
    <s v="Beauté"/>
    <s v="Crème Solaire"/>
    <s v="NIVEA"/>
    <x v="4"/>
    <x v="6"/>
    <s v="4500"/>
    <s v="KRIBI"/>
    <s v="NIVEA"/>
    <n v="18000"/>
    <s v="June"/>
  </r>
  <r>
    <s v="S-065"/>
    <s v="02/07/2026"/>
    <s v="Boissons"/>
    <s v="Eau Gazeuse"/>
    <s v="SABC"/>
    <x v="3"/>
    <x v="12"/>
    <s v="600"/>
    <s v="BAFOUSSAM"/>
    <s v="SABC"/>
    <n v="18000"/>
    <s v="July"/>
  </r>
  <r>
    <s v="S-066"/>
    <s v="12/07/2026"/>
    <s v="Alimentaire"/>
    <s v="Conserve Petit Pois"/>
    <s v="CASSEGRAIN"/>
    <x v="0"/>
    <x v="4"/>
    <s v="1400"/>
    <s v="DOUALA"/>
    <s v="CASSEGRAIN"/>
    <n v="21000"/>
    <s v="July"/>
  </r>
  <r>
    <s v="S-067"/>
    <s v="20/07/2026"/>
    <s v="Entretien"/>
    <s v="Lave Glace"/>
    <s v="TOTAL"/>
    <x v="1"/>
    <x v="1"/>
    <s v="3500"/>
    <s v="YAOUNDÉ"/>
    <s v="TOTAL"/>
    <n v="17500"/>
    <s v="July"/>
  </r>
  <r>
    <s v="S-068"/>
    <s v="28/07/2026"/>
    <s v="Beauté"/>
    <s v="Shampooing Doux"/>
    <s v="DOVE"/>
    <x v="2"/>
    <x v="0"/>
    <s v="2800"/>
    <s v="GAROUA"/>
    <s v="DOVE"/>
    <n v="28000"/>
    <s v="July"/>
  </r>
  <r>
    <s v="S-069"/>
    <s v="05/08/2026"/>
    <s v="Boissons"/>
    <s v="Bière Sans Alcool"/>
    <s v="SABC"/>
    <x v="0"/>
    <x v="17"/>
    <s v="600"/>
    <s v="DOUALA"/>
    <s v="SABC"/>
    <n v="28800"/>
    <s v="August"/>
  </r>
  <r>
    <s v="S-070"/>
    <s v="14/08/2026"/>
    <s v="Alimentaire"/>
    <s v="Chocolat en Poudre"/>
    <s v="MILO"/>
    <x v="3"/>
    <x v="5"/>
    <s v="4200"/>
    <s v="BAFOUSSAM"/>
    <s v="MILO"/>
    <n v="33600"/>
    <s v="August"/>
  </r>
  <r>
    <s v="S-071"/>
    <s v="25/08/2026"/>
    <s v="Entretien"/>
    <s v="Essuie-tout"/>
    <s v="OKI"/>
    <x v="4"/>
    <x v="2"/>
    <s v="650"/>
    <s v="KRIBI"/>
    <s v="OKI"/>
    <n v="13000"/>
    <s v="August"/>
  </r>
  <r>
    <s v="S-072"/>
    <s v="02/09/2026"/>
    <s v="Boissons"/>
    <s v="Sirop de Grenadine"/>
    <s v="TEISSEIRE"/>
    <x v="1"/>
    <x v="10"/>
    <s v="3800"/>
    <s v="YAOUNDÉ"/>
    <s v="TEISSEIRE"/>
    <n v="22800"/>
    <s v="September"/>
  </r>
  <r>
    <s v="S-073"/>
    <s v="12/09/2026"/>
    <s v="Alimentaire"/>
    <s v="Biscuits Secs"/>
    <s v="LU"/>
    <x v="0"/>
    <x v="14"/>
    <s v="350"/>
    <s v="DOUALA"/>
    <s v="LU"/>
    <n v="17500"/>
    <s v="September"/>
  </r>
  <r>
    <s v="S-074"/>
    <s v="20/09/2026"/>
    <s v="Beauté"/>
    <s v="Vernis à Ongles"/>
    <s v="MAYBELLINE"/>
    <x v="2"/>
    <x v="4"/>
    <s v="1200"/>
    <s v="GAROUA"/>
    <s v="MAYBELLINE"/>
    <n v="18000"/>
    <s v="September"/>
  </r>
  <r>
    <s v="S-075"/>
    <s v="30/09/2026"/>
    <s v="Entretien"/>
    <s v="Insecticide"/>
    <s v="BAYGON"/>
    <x v="3"/>
    <x v="8"/>
    <s v="2800"/>
    <s v="BAFOUSSAM"/>
    <s v="BAYGON"/>
    <n v="33600"/>
    <s v="September"/>
  </r>
  <r>
    <s v="S-076"/>
    <s v="05/10/2026"/>
    <s v="Boissons"/>
    <s v="Lait de Coco"/>
    <s v="VITACOCO"/>
    <x v="4"/>
    <x v="0"/>
    <s v="1500"/>
    <s v="KRIBI"/>
    <s v="VITACOCO"/>
    <n v="15000"/>
    <s v="October"/>
  </r>
  <r>
    <s v="S-077"/>
    <s v="14/10/2026"/>
    <s v="Alimentaire"/>
    <s v="Pâte à tartiner"/>
    <s v="CHOCOCAM"/>
    <x v="0"/>
    <x v="2"/>
    <s v="1800"/>
    <s v="DOUALA"/>
    <s v="CHOCOCAM"/>
    <n v="36000"/>
    <s v="October"/>
  </r>
  <r>
    <s v="S-078"/>
    <s v="25/10/2026"/>
    <s v="Entretien"/>
    <s v="Adoucissant"/>
    <s v="SOUPLINE"/>
    <x v="1"/>
    <x v="1"/>
    <s v="3200"/>
    <s v="YAOUNDÉ"/>
    <s v="SOUPLINE"/>
    <n v="16000"/>
    <s v="October"/>
  </r>
  <r>
    <s v="S-079"/>
    <s v="02/11/2026"/>
    <s v="Boissons"/>
    <s v="Ginger Beer"/>
    <s v="SABC"/>
    <x v="2"/>
    <x v="7"/>
    <s v="700"/>
    <s v="GAROUA"/>
    <s v="SABC"/>
    <n v="16800"/>
    <s v="November"/>
  </r>
  <r>
    <s v="S-080"/>
    <s v="15/11/2026"/>
    <s v="Beauté"/>
    <s v="Rasoir Jetable"/>
    <s v="GILLETTE"/>
    <x v="3"/>
    <x v="11"/>
    <s v="350"/>
    <s v="BAFOUSSAM"/>
    <s v="GILLETTE"/>
    <n v="14000"/>
    <s v="November"/>
  </r>
  <r>
    <s v="S-081"/>
    <s v="25/11/2026"/>
    <s v="Alimentaire"/>
    <s v="Haricots Blancs"/>
    <s v="REGINA"/>
    <x v="4"/>
    <x v="4"/>
    <s v="850"/>
    <s v="KRIBI"/>
    <s v="REGINA"/>
    <n v="12750"/>
    <s v="November"/>
  </r>
  <r>
    <s v="S-082"/>
    <s v="05/12/2026"/>
    <s v="Boissons"/>
    <s v="Vin Blanc"/>
    <s v="BVC"/>
    <x v="0"/>
    <x v="10"/>
    <s v="5500"/>
    <s v="DOUALA"/>
    <s v="BVC"/>
    <n v="33000"/>
    <s v="December"/>
  </r>
  <r>
    <s v="S-083"/>
    <s v="15/12/2026"/>
    <s v="Alimentaire"/>
    <s v="Dinde de Noël"/>
    <s v="AGROCAM"/>
    <x v="1"/>
    <x v="9"/>
    <s v="12500"/>
    <s v="YAOUNDÉ"/>
    <s v="AGROCAM"/>
    <n v="37500"/>
    <s v="December"/>
  </r>
  <r>
    <s v="S-084"/>
    <s v="24/12/2026"/>
    <s v="Boissons"/>
    <s v="Whisky 12 ans"/>
    <s v="CHIVAS"/>
    <x v="0"/>
    <x v="3"/>
    <s v="35000"/>
    <s v="DOUALA"/>
    <s v="CHIVAS"/>
    <n v="70000"/>
    <s v="December"/>
  </r>
  <r>
    <s v="S-085"/>
    <s v="30/12/2026"/>
    <s v="Beauté"/>
    <s v="Gel Douche"/>
    <s v="LE PETIT MARSEILLAIS"/>
    <x v="3"/>
    <x v="8"/>
    <s v="2200"/>
    <s v="BAFOUSSAM"/>
    <s v="LE PETIT MARSEILLAIS"/>
    <n v="26400"/>
    <s v="December"/>
  </r>
  <r>
    <s v="S-086"/>
    <s v="05/01/2026"/>
    <s v="Alimentaire"/>
    <s v="Beurre de table"/>
    <s v="JADIDA"/>
    <x v="0"/>
    <x v="0"/>
    <s v="1200"/>
    <s v="DOUALA"/>
    <s v="JADIDA"/>
    <n v="12000"/>
    <s v="January"/>
  </r>
  <r>
    <s v="S-087"/>
    <s v="12/01/2026"/>
    <s v="Beauté"/>
    <s v="Lotion Tonique"/>
    <s v="NIVEA"/>
    <x v="1"/>
    <x v="1"/>
    <s v="3800"/>
    <s v="YAOUNDÉ"/>
    <s v="NIVEA"/>
    <n v="19000"/>
    <s v="January"/>
  </r>
  <r>
    <s v="S-088"/>
    <s v="18/01/2026"/>
    <s v="Boissons"/>
    <s v="Jus de Pomme"/>
    <s v="RAUCH"/>
    <x v="2"/>
    <x v="4"/>
    <s v="1300"/>
    <s v="GAROUA"/>
    <s v="RAUCH"/>
    <n v="19500"/>
    <s v="January"/>
  </r>
  <r>
    <s v="S-089"/>
    <s v="25/01/2026"/>
    <s v="Entretien"/>
    <s v="Nettoyant Multi"/>
    <s v="AJAX"/>
    <x v="3"/>
    <x v="5"/>
    <s v="1500"/>
    <s v="BAFOUSSAM"/>
    <s v="AJAX"/>
    <n v="12000"/>
    <s v="January"/>
  </r>
  <r>
    <s v="S-090"/>
    <s v="02/02/2026"/>
    <s v="Alimentaire"/>
    <s v="Fromage Portion"/>
    <s v="LA VACHE QUI RIT"/>
    <x v="0"/>
    <x v="7"/>
    <s v="1800"/>
    <s v="DOUALA"/>
    <s v="LA VACHE QUI RIT"/>
    <n v="43200"/>
    <s v="February"/>
  </r>
  <r>
    <s v="S-091"/>
    <s v="10/02/2026"/>
    <s v="Boissons"/>
    <s v="Bière Mützig"/>
    <s v="SABC"/>
    <x v="4"/>
    <x v="18"/>
    <s v="700"/>
    <s v="KRIBI"/>
    <s v="SABC"/>
    <n v="25200"/>
    <s v="February"/>
  </r>
  <r>
    <s v="S-092"/>
    <s v="15/02/2026"/>
    <s v="Beauté"/>
    <s v="Masque Visage"/>
    <s v="GARNIER"/>
    <x v="1"/>
    <x v="8"/>
    <s v="1500"/>
    <s v="YAOUNDÉ"/>
    <s v="GARNIER"/>
    <n v="18000"/>
    <s v="February"/>
  </r>
  <r>
    <s v="S-093"/>
    <s v="22/02/2026"/>
    <s v="Entretien"/>
    <s v="Éponge Grattante"/>
    <s v="SCOTCH-BRITE"/>
    <x v="0"/>
    <x v="2"/>
    <s v="450"/>
    <s v="DOUALA"/>
    <s v="SCOTCH-BRITE"/>
    <n v="9000"/>
    <s v="February"/>
  </r>
  <r>
    <s v="S-094"/>
    <s v="02/03/2026"/>
    <s v="Alimentaire"/>
    <s v="Yaourt Nature"/>
    <s v="CAMLAIT"/>
    <x v="2"/>
    <x v="11"/>
    <s v="300"/>
    <s v="GAROUA"/>
    <s v="CAMLAIT"/>
    <n v="12000"/>
    <s v="March"/>
  </r>
  <r>
    <s v="S-095"/>
    <s v="10/03/2026"/>
    <s v="Boissons"/>
    <s v="Limonade 0.5L"/>
    <s v="SABC"/>
    <x v="3"/>
    <x v="14"/>
    <s v="400"/>
    <s v="BAFOUSSAM"/>
    <s v="SABC"/>
    <n v="20000"/>
    <s v="March"/>
  </r>
  <r>
    <s v="S-096"/>
    <s v="18/03/2026"/>
    <s v="Alimentaire"/>
    <s v="Moutarde de Dijon"/>
    <s v="AMORA"/>
    <x v="0"/>
    <x v="10"/>
    <s v="1400"/>
    <s v="DOUALA"/>
    <s v="AMORA"/>
    <n v="8400"/>
    <s v="March"/>
  </r>
  <r>
    <s v="S-097"/>
    <s v="25/03/2026"/>
    <s v="Beauté"/>
    <s v="Déodorant Bille"/>
    <s v="USHAÏA"/>
    <x v="1"/>
    <x v="4"/>
    <s v="2500"/>
    <s v="YAOUNDÉ"/>
    <s v="USHAÏA"/>
    <n v="37500"/>
    <s v="March"/>
  </r>
  <r>
    <s v="S-098"/>
    <s v="02/04/2026"/>
    <s v="Entretien"/>
    <s v="Désinfectant Sol"/>
    <s v="SANITERGENT"/>
    <x v="4"/>
    <x v="0"/>
    <s v="1800"/>
    <s v="KRIBI"/>
    <s v="SANITERGENT"/>
    <n v="18000"/>
    <s v="April"/>
  </r>
  <r>
    <s v="S-099"/>
    <s v="10/04/2026"/>
    <s v="Boissons"/>
    <s v="Sirop Menthe"/>
    <s v="TEISSEIRE"/>
    <x v="2"/>
    <x v="6"/>
    <s v="3500"/>
    <s v="GAROUA"/>
    <s v="TEISSEIRE"/>
    <n v="14000"/>
    <s v="April"/>
  </r>
  <r>
    <s v="S-100"/>
    <s v="15/04/2026"/>
    <s v="Alimentaire"/>
    <s v="Saucisson Sec"/>
    <s v="BORDEAU CHESNEL"/>
    <x v="0"/>
    <x v="1"/>
    <s v="4500"/>
    <s v="DOUALA"/>
    <s v="BORDEAU CHESNEL"/>
    <n v="22500"/>
    <s v="April"/>
  </r>
  <r>
    <s v="S-101"/>
    <s v="22/04/2026"/>
    <s v="Beauté"/>
    <s v="Crème de Jour"/>
    <s v="L'OREAL"/>
    <x v="1"/>
    <x v="9"/>
    <s v="9500"/>
    <s v="YAOUNDÉ"/>
    <s v="L'OREAL"/>
    <n v="28500"/>
    <s v="April"/>
  </r>
  <r>
    <s v="S-102"/>
    <s v="30/04/2026"/>
    <s v="Boissons"/>
    <s v="Eau de Source"/>
    <s v="Vittel"/>
    <x v="3"/>
    <x v="12"/>
    <s v="850"/>
    <s v="BAFOUSSAM"/>
    <s v="VITTEL"/>
    <n v="25500"/>
    <s v="April"/>
  </r>
  <r>
    <s v="S-103"/>
    <s v="05/05/2026"/>
    <s v="Alimentaire"/>
    <s v="Huile d'Olive"/>
    <s v="PUGET"/>
    <x v="4"/>
    <x v="3"/>
    <s v="6500"/>
    <s v="KRIBI"/>
    <s v="PUGET"/>
    <n v="13000"/>
    <s v="May"/>
  </r>
  <r>
    <s v="S-104"/>
    <s v="12/05/2026"/>
    <s v="Entretien"/>
    <s v="Lessive Liquide"/>
    <s v="Le Chat"/>
    <x v="0"/>
    <x v="1"/>
    <s v="7500"/>
    <s v="DOUALA"/>
    <s v="LE CHAT"/>
    <n v="37500"/>
    <s v="May"/>
  </r>
  <r>
    <s v="S-105"/>
    <s v="20/05/2026"/>
    <s v="Boissons"/>
    <s v="Canette Malta"/>
    <s v="SABC"/>
    <x v="2"/>
    <x v="7"/>
    <s v="600"/>
    <s v="GAROUA"/>
    <s v="SABC"/>
    <n v="14400"/>
    <s v="May"/>
  </r>
  <r>
    <s v="S-106"/>
    <s v="28/05/2026"/>
    <s v="Alimentaire"/>
    <s v="Céréales Matin"/>
    <s v="KELLOGG'S"/>
    <x v="1"/>
    <x v="5"/>
    <s v="3200"/>
    <s v="YAOUNDÉ"/>
    <s v="KELLOGG'S"/>
    <n v="25600"/>
    <s v="May"/>
  </r>
  <r>
    <s v="S-107"/>
    <s v="05/06/2026"/>
    <s v="Beauté"/>
    <s v="Savon Liquide"/>
    <s v="PALMOLIVE"/>
    <x v="3"/>
    <x v="8"/>
    <s v="1400"/>
    <s v="BAFOUSSAM"/>
    <s v="PALMOLIVE"/>
    <n v="16800"/>
    <s v="June"/>
  </r>
  <r>
    <s v="S-108"/>
    <s v="12/06/2026"/>
    <s v="Entretien"/>
    <s v="Chiffon Microfibre"/>
    <s v="PROPRE"/>
    <x v="0"/>
    <x v="2"/>
    <s v="850"/>
    <s v="DOUALA"/>
    <s v="PROPRE"/>
    <n v="17000"/>
    <s v="June"/>
  </r>
  <r>
    <s v="S-109"/>
    <s v="20/06/2026"/>
    <s v="Boissons"/>
    <s v="Jus Multi-fruits"/>
    <s v="CERES"/>
    <x v="4"/>
    <x v="4"/>
    <s v="1100"/>
    <s v="KRIBI"/>
    <s v="CERES"/>
    <n v="16500"/>
    <s v="June"/>
  </r>
  <r>
    <s v="S-110"/>
    <s v="28/06/2026"/>
    <s v="Alimentaire"/>
    <s v="Confiture Fraise"/>
    <s v="BONNE MAMAN"/>
    <x v="1"/>
    <x v="10"/>
    <s v="2200"/>
    <s v="YAOUNDÉ"/>
    <s v="BONNE MAMAN"/>
    <n v="13200"/>
    <s v="June"/>
  </r>
  <r>
    <s v="S-111"/>
    <s v="05/07/2026"/>
    <s v="Boissons"/>
    <s v="Coca Zero 0.5L"/>
    <s v="SABC"/>
    <x v="0"/>
    <x v="7"/>
    <s v="500"/>
    <s v="DOUALA"/>
    <s v="SABC"/>
    <n v="12000"/>
    <s v="July"/>
  </r>
  <r>
    <s v="S-112"/>
    <s v="12/07/2026"/>
    <s v="Alimentaire"/>
    <s v="Thon à l'huile"/>
    <s v="PETIT NAVIRE"/>
    <x v="1"/>
    <x v="0"/>
    <s v="1100"/>
    <s v="YAOUNDÉ"/>
    <s v="PETIT NAVIRE"/>
    <n v="11000"/>
    <s v="July"/>
  </r>
  <r>
    <s v="S-113"/>
    <s v="20/07/2026"/>
    <s v="Beauté"/>
    <s v="Couches Bébé"/>
    <s v="PAMPERS"/>
    <x v="2"/>
    <x v="6"/>
    <s v="8500"/>
    <s v="GAROUA"/>
    <s v="PAMPERS"/>
    <n v="34000"/>
    <s v="July"/>
  </r>
  <r>
    <s v="S-114"/>
    <s v="28/07/2026"/>
    <s v="Entretien"/>
    <s v="Lingettes Multi"/>
    <s v="ST MARC"/>
    <x v="3"/>
    <x v="4"/>
    <s v="1800"/>
    <s v="BAFOUSSAM"/>
    <s v="ST MARC"/>
    <n v="27000"/>
    <s v="July"/>
  </r>
  <r>
    <s v="S-115"/>
    <s v="05/08/2026"/>
    <s v="Boissons"/>
    <s v="Top Orange 1.5L"/>
    <s v="SABC"/>
    <x v="4"/>
    <x v="8"/>
    <s v="1100"/>
    <s v="KRIBI"/>
    <s v="SABC"/>
    <n v="13200"/>
    <s v="August"/>
  </r>
  <r>
    <s v="S-116"/>
    <s v="14/08/2026"/>
    <s v="Alimentaire"/>
    <s v="Pâtes à Lasagne"/>
    <s v="BARILLA"/>
    <x v="0"/>
    <x v="5"/>
    <s v="2200"/>
    <s v="DOUALA"/>
    <s v="BARILLA"/>
    <n v="17600"/>
    <s v="August"/>
  </r>
  <r>
    <s v="S-117"/>
    <s v="25/08/2026"/>
    <s v="Beauté"/>
    <s v="Dentifrice Enfant"/>
    <s v="SIGNAL"/>
    <x v="1"/>
    <x v="2"/>
    <s v="800"/>
    <s v="YAOUNDÉ"/>
    <s v="SIGNAL"/>
    <n v="16000"/>
    <s v="August"/>
  </r>
  <r>
    <s v="S-118"/>
    <s v="02/09/2026"/>
    <s v="Entretien"/>
    <s v="Bloc WC"/>
    <s v="HARPIC"/>
    <x v="2"/>
    <x v="8"/>
    <s v="1400"/>
    <s v="GAROUA"/>
    <s v="HARPIC"/>
    <n v="16800"/>
    <s v="September"/>
  </r>
  <r>
    <s v="S-119"/>
    <s v="12/09/2026"/>
    <s v="Boissons"/>
    <s v="Jus de Raisin"/>
    <s v="RAUCH"/>
    <x v="3"/>
    <x v="10"/>
    <s v="1300"/>
    <s v="BAFOUSSAM"/>
    <s v="RAUCH"/>
    <n v="7800"/>
    <s v="September"/>
  </r>
  <r>
    <s v="S-120"/>
    <s v="22/09/2026"/>
    <s v="Alimentaire"/>
    <s v="Vinaigre Blanc"/>
    <s v="MELFOR"/>
    <x v="0"/>
    <x v="0"/>
    <s v="950"/>
    <s v="DOUALA"/>
    <s v="MELFOR"/>
    <n v="9500"/>
    <s v="September"/>
  </r>
  <r>
    <s v="S-121"/>
    <s v="30/09/2026"/>
    <s v="Beauté"/>
    <s v="Crème à raser"/>
    <s v="PALMOLIVE"/>
    <x v="4"/>
    <x v="1"/>
    <s v="2800"/>
    <s v="KRIBI"/>
    <s v="PALMOLIVE"/>
    <n v="14000"/>
    <s v="September"/>
  </r>
  <r>
    <s v="S-122"/>
    <s v="05/10/2026"/>
    <s v="Boissons"/>
    <s v="Grenadine 1L"/>
    <s v="SIROP SPORT"/>
    <x v="1"/>
    <x v="6"/>
    <s v="2500"/>
    <s v="YAOUNDÉ"/>
    <s v="SIROP SPORT"/>
    <n v="10000"/>
    <s v="October"/>
  </r>
  <r>
    <s v="S-123"/>
    <s v="14/10/2026"/>
    <s v="Alimentaire"/>
    <s v="Poivre Noir"/>
    <s v="DUCROS"/>
    <x v="2"/>
    <x v="12"/>
    <s v="600"/>
    <s v="GAROUA"/>
    <s v="DUCROS"/>
    <n v="18000"/>
    <s v="October"/>
  </r>
  <r>
    <s v="S-124"/>
    <s v="25/10/2026"/>
    <s v="Entretien"/>
    <s v="Liquide Sols"/>
    <s v="MONSAVON"/>
    <x v="3"/>
    <x v="5"/>
    <s v="1200"/>
    <s v="BAFOUSSAM"/>
    <s v="MONSAVON"/>
    <n v="9600"/>
    <s v="October"/>
  </r>
  <r>
    <s v="S-125"/>
    <s v="02/11/2026"/>
    <s v="Boissons"/>
    <s v="Eau de Source"/>
    <s v="SUPERMONT"/>
    <x v="0"/>
    <x v="16"/>
    <s v="250"/>
    <s v="DOUALA"/>
    <s v="SUPERMONT"/>
    <n v="25000"/>
    <s v="November"/>
  </r>
  <r>
    <s v="S-126"/>
    <s v="12/11/2026"/>
    <s v="Alimentaire"/>
    <s v="Riz Long Grain"/>
    <s v="CIGALE"/>
    <x v="1"/>
    <x v="2"/>
    <s v="3500"/>
    <s v="YAOUNDÉ"/>
    <s v="CIGALE"/>
    <n v="70000"/>
    <s v="November"/>
  </r>
  <r>
    <s v="S-127"/>
    <s v="20/11/2026"/>
    <s v="Beauté"/>
    <s v="Savon Antiseptique"/>
    <s v="DETTOL"/>
    <x v="4"/>
    <x v="4"/>
    <s v="1100"/>
    <s v="KRIBI"/>
    <s v="DETTOL"/>
    <n v="16500"/>
    <s v="November"/>
  </r>
  <r>
    <s v="S-128"/>
    <s v="28/11/2026"/>
    <s v="Entretien"/>
    <s v="Sacs Congélation"/>
    <s v="ALBAL"/>
    <x v="2"/>
    <x v="8"/>
    <s v="1500"/>
    <s v="GAROUA"/>
    <s v="ALBAL"/>
    <n v="18000"/>
    <s v="November"/>
  </r>
  <r>
    <s v="S-129"/>
    <s v="05/12/2026"/>
    <s v="Boissons"/>
    <s v="Vin Pétillant"/>
    <s v="JP CHENET"/>
    <x v="0"/>
    <x v="8"/>
    <s v="6500"/>
    <s v="DOUALA"/>
    <s v="JP CHENET"/>
    <n v="78000"/>
    <s v="December"/>
  </r>
  <r>
    <s v="S-130"/>
    <s v="12/12/2026"/>
    <s v="Alimentaire"/>
    <s v="Mayonnaise Pot"/>
    <s v="LESIEUR"/>
    <x v="3"/>
    <x v="0"/>
    <s v="2400"/>
    <s v="BAFOUSSAM"/>
    <s v="LESIEUR"/>
    <n v="24000"/>
    <s v="December"/>
  </r>
  <r>
    <s v="S-131"/>
    <s v="18/12/2026"/>
    <s v="Boissons"/>
    <s v="Bière 33 Export"/>
    <s v="SABC"/>
    <x v="1"/>
    <x v="7"/>
    <s v="650"/>
    <s v="YAOUNDÉ"/>
    <s v="SABC"/>
    <n v="15600"/>
    <s v="December"/>
  </r>
  <r>
    <s v="S-132"/>
    <s v="22/12/2026"/>
    <s v="Alimentaire"/>
    <s v="Bouchées Chocolat"/>
    <s v="FERRERO"/>
    <x v="0"/>
    <x v="1"/>
    <s v="8500"/>
    <s v="DOUALA"/>
    <s v="FERRERO"/>
    <n v="42500"/>
    <s v="December"/>
  </r>
  <r>
    <s v="S-133"/>
    <s v="24/12/2026"/>
    <s v="Boissons"/>
    <s v="Whisky Premium"/>
    <s v="GLENFIDDICH"/>
    <x v="4"/>
    <x v="15"/>
    <s v="45000"/>
    <s v="KRIBI"/>
    <s v="GLENFIDDICH"/>
    <n v="45000"/>
    <s v="December"/>
  </r>
  <r>
    <s v="S-134"/>
    <s v="28/12/2026"/>
    <s v="Entretien"/>
    <s v="Essuie-tout Maxi"/>
    <s v="OKI"/>
    <x v="2"/>
    <x v="4"/>
    <s v="1200"/>
    <s v="GAROUA"/>
    <s v="OKI"/>
    <n v="18000"/>
    <s v="December"/>
  </r>
  <r>
    <s v="S-135"/>
    <s v="31/12/2026"/>
    <s v="Boissons"/>
    <s v="Champagne Brut"/>
    <s v="LAURENT PERRIER"/>
    <x v="0"/>
    <x v="3"/>
    <s v="55000"/>
    <s v="DOUALA"/>
    <s v="LAURENT PERRIER"/>
    <n v="110000"/>
    <s v="December"/>
  </r>
  <r>
    <s v="S-136"/>
    <s v="05/01/2026"/>
    <s v="Alimentaire"/>
    <s v="Thé Noir"/>
    <s v="LIPTON"/>
    <x v="0"/>
    <x v="13"/>
    <s v="1200"/>
    <s v="DOUALA"/>
    <s v="LIPTON"/>
    <n v="30000"/>
    <s v="January"/>
  </r>
  <r>
    <s v="S-137"/>
    <s v="12/01/2026"/>
    <s v="Beauté"/>
    <s v="Couches Bébé"/>
    <s v="PAMPERS"/>
    <x v="1"/>
    <x v="1"/>
    <s v="8500"/>
    <s v="YAOUNDÉ"/>
    <s v="PAMPERS"/>
    <n v="42500"/>
    <s v="January"/>
  </r>
  <r>
    <s v="S-138"/>
    <s v="18/01/2026"/>
    <s v="Boissons"/>
    <s v="Jus de Raisin"/>
    <s v="RAUCH"/>
    <x v="2"/>
    <x v="8"/>
    <s v="1300"/>
    <s v="GAROUA"/>
    <s v="RAUCH"/>
    <n v="15600"/>
    <s v="January"/>
  </r>
  <r>
    <s v="S-139"/>
    <s v="25/01/2026"/>
    <s v="Entretien"/>
    <s v="Liquide Sols"/>
    <s v="MONSAVON"/>
    <x v="3"/>
    <x v="5"/>
    <s v="1500"/>
    <s v="BAFOUSSAM"/>
    <s v="MONSAVON"/>
    <n v="12000"/>
    <s v="January"/>
  </r>
  <r>
    <s v="S-140"/>
    <s v="02/02/2026"/>
    <s v="Alimentaire"/>
    <s v="Confiture Fraise"/>
    <s v="BONNE MAMAN"/>
    <x v="0"/>
    <x v="0"/>
    <s v="2200"/>
    <s v="DOUALA"/>
    <s v="BONNE MAMAN"/>
    <n v="22000"/>
    <s v="February"/>
  </r>
  <r>
    <s v="S-141"/>
    <s v="10/02/2026"/>
    <s v="Boissons"/>
    <s v="Eau Vive"/>
    <s v="SEME"/>
    <x v="4"/>
    <x v="19"/>
    <s v="350"/>
    <s v="KRIBI"/>
    <s v="SEME"/>
    <n v="21000"/>
    <s v="February"/>
  </r>
  <r>
    <s v="S-142"/>
    <s v="15/02/2026"/>
    <s v="Beauté"/>
    <s v="Gel Douche"/>
    <s v="DOVE"/>
    <x v="1"/>
    <x v="4"/>
    <s v="2200"/>
    <s v="YAOUNDÉ"/>
    <s v="DOVE"/>
    <n v="33000"/>
    <s v="February"/>
  </r>
  <r>
    <s v="S-143"/>
    <s v="22/02/2026"/>
    <s v="Entretien"/>
    <s v="Essuie-tout"/>
    <s v="OKI"/>
    <x v="0"/>
    <x v="8"/>
    <s v="1200"/>
    <s v="DOUALA"/>
    <s v="OKI"/>
    <n v="14400"/>
    <s v="February"/>
  </r>
  <r>
    <s v="S-144"/>
    <s v="02/03/2026"/>
    <s v="Alimentaire"/>
    <s v="Haricots Blancs"/>
    <s v="REGINA"/>
    <x v="2"/>
    <x v="2"/>
    <s v="850"/>
    <s v="GAROUA"/>
    <s v="REGINA"/>
    <n v="17000"/>
    <s v="March"/>
  </r>
  <r>
    <s v="S-145"/>
    <s v="10/03/2026"/>
    <s v="Boissons"/>
    <s v="Bière Blonde"/>
    <s v="CASTEL"/>
    <x v="3"/>
    <x v="17"/>
    <s v="650"/>
    <s v="BAFOUSSAM"/>
    <s v="CASTEL"/>
    <n v="31200"/>
    <s v="March"/>
  </r>
  <r>
    <s v="S-146"/>
    <s v="18/03/2026"/>
    <s v="Alimentaire"/>
    <s v="Sardines"/>
    <s v="CONNETABLE"/>
    <x v="0"/>
    <x v="12"/>
    <s v="600"/>
    <s v="DOUALA"/>
    <s v="CONNETABLE"/>
    <n v="18000"/>
    <s v="March"/>
  </r>
  <r>
    <s v="S-147"/>
    <s v="25/03/2026"/>
    <s v="Beauté"/>
    <s v="Shampooing"/>
    <s v="GARNIER"/>
    <x v="1"/>
    <x v="5"/>
    <s v="2800"/>
    <s v="YAOUNDÉ"/>
    <s v="GARNIER"/>
    <n v="22400"/>
    <s v="March"/>
  </r>
  <r>
    <s v="S-148"/>
    <s v="02/04/2026"/>
    <s v="Entretien"/>
    <s v="Sacs Poubelle"/>
    <s v="PROPRE"/>
    <x v="4"/>
    <x v="2"/>
    <s v="1200"/>
    <s v="KRIBI"/>
    <s v="PROPRE"/>
    <n v="24000"/>
    <s v="April"/>
  </r>
  <r>
    <s v="S-149"/>
    <s v="10/04/2026"/>
    <s v="Boissons"/>
    <s v="Vin Rouge"/>
    <s v="BVC"/>
    <x v="2"/>
    <x v="10"/>
    <s v="4500"/>
    <s v="GAROUA"/>
    <s v="BVC"/>
    <n v="27000"/>
    <s v="April"/>
  </r>
  <r>
    <s v="S-150"/>
    <s v="15/04/2026"/>
    <s v="Alimentaire"/>
    <s v="Pâtes 500g"/>
    <s v="PANZANI"/>
    <x v="0"/>
    <x v="14"/>
    <s v="600"/>
    <s v="DOUALA"/>
    <s v="PANZANI"/>
    <n v="30000"/>
    <s v="April"/>
  </r>
  <r>
    <s v="S-151"/>
    <s v="22/04/2026"/>
    <s v="Beauté"/>
    <s v="Lotion Corps"/>
    <s v="MIXA"/>
    <x v="1"/>
    <x v="1"/>
    <s v="3200"/>
    <s v="YAOUNDÉ"/>
    <s v="MIXA"/>
    <n v="16000"/>
    <s v="April"/>
  </r>
  <r>
    <s v="S-152"/>
    <s v="30/04/2026"/>
    <s v="Boissons"/>
    <s v="Soda"/>
    <s v="DJINO"/>
    <x v="3"/>
    <x v="7"/>
    <s v="600"/>
    <s v="BAFOUSSAM"/>
    <s v="DJINO"/>
    <n v="14400"/>
    <s v="April"/>
  </r>
  <r>
    <s v="S-153"/>
    <s v="05/05/2026"/>
    <s v="Alimentaire"/>
    <s v="Riz Long Grain"/>
    <s v="CIGALE"/>
    <x v="4"/>
    <x v="4"/>
    <s v="3500"/>
    <s v="KRIBI"/>
    <s v="CIGALE"/>
    <n v="52500"/>
    <s v="May"/>
  </r>
  <r>
    <s v="S-154"/>
    <s v="12/05/2026"/>
    <s v="Entretien"/>
    <s v="Nettoyant Vitres"/>
    <s v="AJAX"/>
    <x v="0"/>
    <x v="0"/>
    <s v="1400"/>
    <s v="DOUALA"/>
    <s v="AJAX"/>
    <n v="14000"/>
    <s v="May"/>
  </r>
  <r>
    <s v="S-155"/>
    <s v="20/05/2026"/>
    <s v="Boissons"/>
    <s v="Mützig Canette"/>
    <s v="SABC"/>
    <x v="2"/>
    <x v="18"/>
    <s v="700"/>
    <s v="GAROUA"/>
    <s v="SABC"/>
    <n v="25200"/>
    <s v="May"/>
  </r>
  <r>
    <s v="S-156"/>
    <s v="05/06/2026"/>
    <s v="Alimentaire"/>
    <s v="Chocolat Tartiner"/>
    <s v="TARTINA"/>
    <x v="0"/>
    <x v="0"/>
    <s v="2500"/>
    <s v="DOUALA"/>
    <s v="TARTINA"/>
    <n v="25000"/>
    <s v="June"/>
  </r>
  <r>
    <s v="S-157"/>
    <s v="12/06/2026"/>
    <s v="Beauté"/>
    <s v="Savon Toilette"/>
    <s v="CAMAY"/>
    <x v="1"/>
    <x v="2"/>
    <s v="500"/>
    <s v="YAOUNDÉ"/>
    <s v="CAMAY"/>
    <n v="10000"/>
    <s v="June"/>
  </r>
  <r>
    <s v="S-158"/>
    <s v="20/06/2026"/>
    <s v="Boissons"/>
    <s v="Top Pamplemousse"/>
    <s v="SABC"/>
    <x v="2"/>
    <x v="7"/>
    <s v="600"/>
    <s v="GAROUA"/>
    <s v="SABC"/>
    <n v="14400"/>
    <s v="June"/>
  </r>
  <r>
    <s v="S-159"/>
    <s v="28/06/2026"/>
    <s v="Entretien"/>
    <s v="Désodorisant"/>
    <s v="AIRWICK"/>
    <x v="3"/>
    <x v="10"/>
    <s v="1800"/>
    <s v="BAFOUSSAM"/>
    <s v="AIRWICK"/>
    <n v="10800"/>
    <s v="June"/>
  </r>
  <r>
    <s v="S-160"/>
    <s v="05/07/2026"/>
    <s v="Alimentaire"/>
    <s v="Beurre de Table"/>
    <s v="JADIDA"/>
    <x v="0"/>
    <x v="8"/>
    <s v="1200"/>
    <s v="DOUALA"/>
    <s v="JADIDA"/>
    <n v="14400"/>
    <s v="July"/>
  </r>
  <r>
    <s v="S-161"/>
    <s v="14/07/2026"/>
    <s v="Boissons"/>
    <s v="Eau Minérale 1.5L"/>
    <s v="TANGUI"/>
    <x v="4"/>
    <x v="11"/>
    <s v="400"/>
    <s v="KRIBI"/>
    <s v="TANGUI"/>
    <n v="16000"/>
    <s v="July"/>
  </r>
  <r>
    <s v="S-162"/>
    <s v="25/07/2026"/>
    <s v="Beauté"/>
    <s v="Shampooing Doux"/>
    <s v="DOVE"/>
    <x v="1"/>
    <x v="5"/>
    <s v="2500"/>
    <s v="YAOUNDÉ"/>
    <s v="DOVE"/>
    <n v="20000"/>
    <s v="July"/>
  </r>
  <r>
    <s v="S-163"/>
    <s v="02/08/2026"/>
    <s v="Entretien"/>
    <s v="Javel 1L"/>
    <s v="LACROIX"/>
    <x v="0"/>
    <x v="4"/>
    <s v="850"/>
    <s v="DOUALA"/>
    <s v="LACROIX"/>
    <n v="12750"/>
    <s v="August"/>
  </r>
  <r>
    <s v="S-164"/>
    <s v="12/08/2026"/>
    <s v="Alimentaire"/>
    <s v="Miel Naturel"/>
    <s v="VITA"/>
    <x v="2"/>
    <x v="6"/>
    <s v="3500"/>
    <s v="GAROUA"/>
    <s v="VITA"/>
    <n v="14000"/>
    <s v="August"/>
  </r>
  <r>
    <s v="S-165"/>
    <s v="22/08/2026"/>
    <s v="Boissons"/>
    <s v="Canette Soda"/>
    <s v="VIMTO"/>
    <x v="3"/>
    <x v="18"/>
    <s v="500"/>
    <s v="BAFOUSSAM"/>
    <s v="VIMTO"/>
    <n v="18000"/>
    <s v="August"/>
  </r>
  <r>
    <s v="S-166"/>
    <s v="05/09/2026"/>
    <s v="Alimentaire"/>
    <s v="Huile Végétale"/>
    <s v="JADIDA"/>
    <x v="0"/>
    <x v="0"/>
    <s v="1100"/>
    <s v="DOUALA"/>
    <s v="JADIDA"/>
    <n v="11000"/>
    <s v="September"/>
  </r>
  <r>
    <s v="S-167"/>
    <s v="15/09/2026"/>
    <s v="Beauté"/>
    <s v="Lait de Toilette"/>
    <s v="NIVEA"/>
    <x v="1"/>
    <x v="1"/>
    <n v="3500"/>
    <s v="YAOUNDÉ"/>
    <s v="NIVEA"/>
    <n v="17500"/>
    <s v="September"/>
  </r>
  <r>
    <s v="S-168"/>
    <s v="28/09/2026"/>
    <s v="Entretien"/>
    <s v="Liquide Vaisselle"/>
    <s v="PAIC"/>
    <x v="4"/>
    <x v="8"/>
    <s v="1100"/>
    <s v="KRIBI"/>
    <s v="PAIC"/>
    <n v="13200"/>
    <s v="September"/>
  </r>
  <r>
    <s v="S-169"/>
    <s v="05/10/2026"/>
    <s v="Boissons"/>
    <s v="Bière Brune"/>
    <s v="GUINNESS"/>
    <x v="2"/>
    <x v="7"/>
    <s v="800"/>
    <s v="GAROUA"/>
    <s v="GUINNESS"/>
    <n v="19200"/>
    <s v="October"/>
  </r>
  <r>
    <s v="S-170"/>
    <s v="14/10/2026"/>
    <s v="Alimentaire"/>
    <s v="Sucre en Poudre"/>
    <s v="SOSUCAM"/>
    <x v="3"/>
    <x v="4"/>
    <s v="850"/>
    <s v="BAFOUSSAM"/>
    <s v="SOSUCAM"/>
    <n v="12750"/>
    <s v="October"/>
  </r>
  <r>
    <s v="S-171"/>
    <s v="25/10/2026"/>
    <s v="Beauté"/>
    <s v="Dentifrice"/>
    <s v="COLGATE"/>
    <x v="0"/>
    <x v="2"/>
    <s v="800"/>
    <s v="DOUALA"/>
    <s v="COLGATE"/>
    <n v="16000"/>
    <s v="October"/>
  </r>
  <r>
    <s v="S-172"/>
    <s v="02/11/2026"/>
    <s v="Boissons"/>
    <s v="Jus de Fruits"/>
    <s v="TOP"/>
    <x v="1"/>
    <x v="20"/>
    <s v="600"/>
    <s v="YAOUNDÉ"/>
    <s v="TOP"/>
    <n v="10800"/>
    <s v="November"/>
  </r>
  <r>
    <s v="S-173"/>
    <s v="12/11/2026"/>
    <s v="Entretien"/>
    <s v="Éponge Grattante"/>
    <s v="SCOTCH"/>
    <x v="4"/>
    <x v="12"/>
    <s v="300"/>
    <s v="KRIBI"/>
    <s v="SCOTCH"/>
    <n v="9000"/>
    <s v="November"/>
  </r>
  <r>
    <s v="S-174"/>
    <s v="22/11/2026"/>
    <s v="Alimentaire"/>
    <s v="Café Poudre"/>
    <s v="NESCAFE"/>
    <x v="2"/>
    <x v="10"/>
    <s v="3500"/>
    <s v="GAROUA"/>
    <s v="NESCAFE"/>
    <n v="21000"/>
    <s v="November"/>
  </r>
  <r>
    <s v="S-175"/>
    <s v="30/11/2026"/>
    <s v="Boissons"/>
    <s v="Limonade"/>
    <s v="KADJI"/>
    <x v="0"/>
    <x v="2"/>
    <s v="700"/>
    <s v="DOUALA"/>
    <s v="KADJI"/>
    <n v="14000"/>
    <s v="November"/>
  </r>
  <r>
    <s v="S-176"/>
    <s v="05/12/2026"/>
    <s v="Boissons"/>
    <s v="Champagne Brut"/>
    <s v="LAURENT PERRIER"/>
    <x v="0"/>
    <x v="3"/>
    <s v="55000"/>
    <s v="DOUALA"/>
    <s v="LAURENT PERRIER"/>
    <n v="110000"/>
    <s v="December"/>
  </r>
  <r>
    <s v="S-177"/>
    <s v="10/12/2026"/>
    <s v="Alimentaire"/>
    <s v="Foie Gras"/>
    <s v="LABEYRIE"/>
    <x v="1"/>
    <x v="6"/>
    <s v="15000"/>
    <s v="YAOUNDÉ"/>
    <s v="LABEYRIE"/>
    <n v="60000"/>
    <s v="December"/>
  </r>
  <r>
    <s v="S-178"/>
    <s v="15/12/2026"/>
    <s v="Boissons"/>
    <s v="Vin de Table"/>
    <s v="BVC"/>
    <x v="4"/>
    <x v="8"/>
    <s v="4500"/>
    <s v="KRIBI"/>
    <s v="BVC"/>
    <n v="54000"/>
    <s v="December"/>
  </r>
  <r>
    <s v="S-179"/>
    <s v="20/12/2026"/>
    <s v="Beauté"/>
    <s v="Coffret Cadeau"/>
    <s v="DIOR"/>
    <x v="0"/>
    <x v="15"/>
    <s v="65000"/>
    <s v="DOUALA"/>
    <s v="DIOR"/>
    <n v="65000"/>
    <s v="December"/>
  </r>
  <r>
    <s v="S-180"/>
    <s v="24/12/2026"/>
    <s v="Alimentaire"/>
    <s v="Dinde de Noël"/>
    <s v="AGROCAM"/>
    <x v="1"/>
    <x v="9"/>
    <s v="12500"/>
    <s v="YAOUNDÉ"/>
    <s v="AGROCAM"/>
    <n v="37500"/>
    <s v="December"/>
  </r>
  <r>
    <s v="S-181"/>
    <s v="28/12/2026"/>
    <s v="Boissons"/>
    <s v="Bière 33 Export"/>
    <s v="SABC"/>
    <x v="2"/>
    <x v="17"/>
    <s v="650"/>
    <s v="GAROUA"/>
    <s v="SABC"/>
    <n v="31200"/>
    <s v="December"/>
  </r>
  <r>
    <s v="S-182"/>
    <s v="05/01/2026"/>
    <s v="Entretien"/>
    <s v="Lessive Liquide"/>
    <s v="ARIEL"/>
    <x v="3"/>
    <x v="1"/>
    <s v="7500"/>
    <s v="BAFOUSSAM"/>
    <s v="ARIEL"/>
    <n v="37500"/>
    <s v="January"/>
  </r>
  <r>
    <s v="S-183"/>
    <s v="12/01/2026"/>
    <s v="Alimentaire"/>
    <s v="Farine Blé"/>
    <s v="SGMC"/>
    <x v="0"/>
    <x v="2"/>
    <s v="750"/>
    <s v="DOUALA"/>
    <s v="SGMC"/>
    <n v="15000"/>
    <s v="January"/>
  </r>
  <r>
    <s v="S-184"/>
    <s v="18/01/2026"/>
    <s v="Boissons"/>
    <s v="Jus d'Ananas"/>
    <s v="RAUCH"/>
    <x v="1"/>
    <x v="0"/>
    <s v="1100"/>
    <s v="YAOUNDÉ"/>
    <s v="RAUCH"/>
    <n v="11000"/>
    <s v="January"/>
  </r>
  <r>
    <s v="S-185"/>
    <s v="25/01/2026"/>
    <s v="Beauté"/>
    <s v="Lait de Corps"/>
    <s v="TOPICREM"/>
    <x v="2"/>
    <x v="9"/>
    <s v="8500"/>
    <s v="GAROUA"/>
    <s v="TOPICREM"/>
    <n v="25500"/>
    <s v="January"/>
  </r>
  <r>
    <s v="S-186"/>
    <s v="02/02/2026"/>
    <s v="Entretien"/>
    <s v="Nettoyant Sol"/>
    <s v="AJAX"/>
    <x v="3"/>
    <x v="5"/>
    <s v="1400"/>
    <s v="BAFOUSSAM"/>
    <s v="AJAX"/>
    <n v="11200"/>
    <s v="February"/>
  </r>
  <r>
    <s v="S-187"/>
    <s v="10/02/2026"/>
    <s v="Alimentaire"/>
    <s v="Riz Parfumé"/>
    <s v="NEÏMA"/>
    <x v="0"/>
    <x v="4"/>
    <s v="4500"/>
    <s v="DOUALA"/>
    <s v="NEÏMA"/>
    <n v="67500"/>
    <s v="February"/>
  </r>
  <r>
    <s v="S-188"/>
    <s v="15/02/2026"/>
    <s v="Boissons"/>
    <s v="Eau Vive"/>
    <s v="SEME"/>
    <x v="4"/>
    <x v="14"/>
    <s v="350"/>
    <s v="KRIBI"/>
    <s v="SEME"/>
    <n v="17500"/>
    <s v="February"/>
  </r>
  <r>
    <s v="S-189"/>
    <s v="22/02/2026"/>
    <s v="Beauté"/>
    <s v="Savon Noir"/>
    <s v="BIO"/>
    <x v="1"/>
    <x v="2"/>
    <s v="500"/>
    <s v="YAOUNDÉ"/>
    <s v="BIO"/>
    <n v="10000"/>
    <s v="February"/>
  </r>
  <r>
    <s v="S-190"/>
    <s v="05/03/2026"/>
    <s v="Alimentaire"/>
    <s v="Huile de Palme"/>
    <s v="AZUR"/>
    <x v="2"/>
    <x v="0"/>
    <s v="1500"/>
    <s v="GAROUA"/>
    <s v="AZUR"/>
    <n v="15000"/>
    <s v="March"/>
  </r>
  <r>
    <s v="S-191"/>
    <s v="12/03/2026"/>
    <s v="Entretien"/>
    <s v="Papier Toilette"/>
    <s v="LOTUS"/>
    <x v="3"/>
    <x v="7"/>
    <s v="400"/>
    <s v="BAFOUSSAM"/>
    <s v="LOTUS"/>
    <n v="9600"/>
    <s v="March"/>
  </r>
  <r>
    <s v="S-192"/>
    <s v="20/03/2026"/>
    <s v="Boissons"/>
    <s v="Soda"/>
    <s v="DJINO"/>
    <x v="0"/>
    <x v="8"/>
    <s v="600"/>
    <s v="DOUALA"/>
    <s v="DJINO"/>
    <n v="7200"/>
    <s v="March"/>
  </r>
  <r>
    <s v="S-193"/>
    <s v="28/03/2026"/>
    <s v="Alimentaire"/>
    <s v="Pâtes 500g"/>
    <s v="PANZANI"/>
    <x v="1"/>
    <x v="12"/>
    <s v="600"/>
    <s v="YAOUNDÉ"/>
    <s v="PANZANI"/>
    <n v="18000"/>
    <s v="March"/>
  </r>
  <r>
    <s v="S-194"/>
    <s v="05/04/2026"/>
    <s v="Beauté"/>
    <s v="Dentifrice"/>
    <s v="COLGATE"/>
    <x v="4"/>
    <x v="4"/>
    <s v="800"/>
    <s v="KRIBI"/>
    <s v="COLGATE"/>
    <n v="12000"/>
    <s v="April"/>
  </r>
  <r>
    <s v="S-195"/>
    <s v="12/04/2026"/>
    <s v="Entretien"/>
    <s v="Désodorisant"/>
    <s v="AIRWICK"/>
    <x v="2"/>
    <x v="0"/>
    <s v="1800"/>
    <s v="GAROUA"/>
    <s v="AIRWICK"/>
    <n v="18000"/>
    <s v="April"/>
  </r>
  <r>
    <s v="S-196"/>
    <s v="20/04/2026"/>
    <s v="Boissons"/>
    <s v="Bière Mützig"/>
    <s v="SABC"/>
    <x v="3"/>
    <x v="7"/>
    <s v="700"/>
    <s v="BAFOUSSAM"/>
    <s v="SABC"/>
    <n v="16800"/>
    <s v="April"/>
  </r>
  <r>
    <s v="S-197"/>
    <s v="28/04/2026"/>
    <s v="Alimentaire"/>
    <s v="Sucre en Poudre"/>
    <s v="SOSUCAM"/>
    <x v="0"/>
    <x v="11"/>
    <s v="850"/>
    <s v="DOUALA"/>
    <s v="SOSUCAM"/>
    <n v="34000"/>
    <s v="April"/>
  </r>
  <r>
    <s v="S-198"/>
    <s v="05/05/2026"/>
    <s v="Beauté"/>
    <s v="Gel Douche"/>
    <s v="CAMAY"/>
    <x v="1"/>
    <x v="8"/>
    <s v="500"/>
    <s v="YAOUNDÉ"/>
    <s v="CAMAY"/>
    <n v="6000"/>
    <s v="May"/>
  </r>
  <r>
    <s v="S-199"/>
    <s v="12/05/2026"/>
    <s v="Entretien"/>
    <s v="Liquide Vaisselle"/>
    <s v="PAIC"/>
    <x v="2"/>
    <x v="10"/>
    <s v="1100"/>
    <s v="GAROUA"/>
    <s v="PAIC"/>
    <n v="6600"/>
    <s v="May"/>
  </r>
  <r>
    <s v="S-200"/>
    <s v="20/05/2026"/>
    <s v="Boissons"/>
    <s v="Eau Minérale"/>
    <s v="TANGUI"/>
    <x v="4"/>
    <x v="19"/>
    <s v="400"/>
    <s v="KRIBI"/>
    <s v="TANGUI"/>
    <n v="24000"/>
    <s v="May"/>
  </r>
  <r>
    <s v="S-201"/>
    <s v="05/06/2026"/>
    <s v="Alimentaire"/>
    <s v="Riz Parfumé 5kg"/>
    <s v="NEÏMA"/>
    <x v="0"/>
    <x v="0"/>
    <s v="4500"/>
    <s v="DOUALA"/>
    <s v="NEÏMA"/>
    <n v="45000"/>
    <s v="June"/>
  </r>
  <r>
    <s v="S-202"/>
    <s v="12/06/2026"/>
    <s v="Boissons"/>
    <s v="Top Pamplemousse"/>
    <s v="SABC"/>
    <x v="1"/>
    <x v="7"/>
    <s v="600"/>
    <s v="YAOUNDÉ"/>
    <s v="SABC"/>
    <n v="14400"/>
    <s v="June"/>
  </r>
  <r>
    <s v="S-203"/>
    <s v="20/06/2026"/>
    <s v="Entretien"/>
    <s v="Savon ménage"/>
    <s v="OMO"/>
    <x v="2"/>
    <x v="4"/>
    <s v="1200"/>
    <s v="GAROUA"/>
    <s v="OMO"/>
    <n v="18000"/>
    <s v="June"/>
  </r>
  <r>
    <s v="S-204"/>
    <s v="28/06/2026"/>
    <s v="Beauté"/>
    <s v="Lait de toilette"/>
    <s v="NIVEA"/>
    <x v="3"/>
    <x v="1"/>
    <s v="3500"/>
    <s v="BAFOUSSAM"/>
    <s v="NIVEA"/>
    <n v="17500"/>
    <s v="June"/>
  </r>
  <r>
    <s v="S-205"/>
    <s v="05/07/2026"/>
    <s v="Alimentaire"/>
    <s v="Huile Végétale"/>
    <s v="JADIDA"/>
    <x v="4"/>
    <x v="5"/>
    <s v="1100"/>
    <s v="KRIBI"/>
    <s v="JADIDA"/>
    <n v="8800"/>
    <s v="July"/>
  </r>
  <r>
    <s v="S-206"/>
    <s v="14/07/2026"/>
    <s v="Boissons"/>
    <s v="Eau Minérale 1.5L"/>
    <s v="TANGUI"/>
    <x v="0"/>
    <x v="11"/>
    <s v="400"/>
    <s v="DOUALA"/>
    <s v="TANGUI"/>
    <n v="16000"/>
    <s v="July"/>
  </r>
  <r>
    <s v="S-207"/>
    <s v="25/07/2026"/>
    <s v="Beauté"/>
    <s v="Shampooing Doux"/>
    <s v="DOVE"/>
    <x v="1"/>
    <x v="5"/>
    <s v="2500"/>
    <s v="YAOUNDÉ"/>
    <s v="DOVE"/>
    <n v="20000"/>
    <s v="July"/>
  </r>
  <r>
    <s v="S-208"/>
    <s v="02/08/2026"/>
    <s v="Entretien"/>
    <s v="Javel 1L"/>
    <s v="LACROIX"/>
    <x v="2"/>
    <x v="8"/>
    <s v="850"/>
    <s v="GAROUA"/>
    <s v="LACROIX"/>
    <n v="10200"/>
    <s v="August"/>
  </r>
  <r>
    <s v="S-209"/>
    <s v="12/08/2026"/>
    <s v="Boissons"/>
    <s v="Bière Blonde"/>
    <s v="CASTEL"/>
    <x v="3"/>
    <x v="7"/>
    <s v="650"/>
    <s v="BAFOUSSAM"/>
    <s v="CASTEL"/>
    <n v="15600"/>
    <s v="August"/>
  </r>
  <r>
    <s v="S-210"/>
    <s v="22/08/2026"/>
    <s v="Alimentaire"/>
    <s v="Sucre en Poudre"/>
    <s v="SOSUCAM"/>
    <x v="0"/>
    <x v="4"/>
    <s v="850"/>
    <s v="DOUALA"/>
    <s v="SOSUCAM"/>
    <n v="12750"/>
    <s v="August"/>
  </r>
  <r>
    <s v="S-211"/>
    <s v="05/09/2026"/>
    <s v="Beauté"/>
    <s v="Savon Toilette"/>
    <s v="CAMAY"/>
    <x v="4"/>
    <x v="12"/>
    <s v="500"/>
    <s v="KRIBI"/>
    <s v="CAMAY"/>
    <n v="15000"/>
    <s v="September"/>
  </r>
  <r>
    <s v="S-212"/>
    <s v="15/09/2026"/>
    <s v="Boissons"/>
    <s v="Jus d'Orange"/>
    <s v="RAUCH"/>
    <x v="1"/>
    <x v="8"/>
    <s v="1200"/>
    <s v="YAOUNDÉ"/>
    <s v="RAUCH"/>
    <n v="14400"/>
    <s v="September"/>
  </r>
  <r>
    <s v="S-213"/>
    <s v="28/09/2026"/>
    <s v="Alimentaire"/>
    <s v="Pâtes 500g"/>
    <s v="PANZANI"/>
    <x v="0"/>
    <x v="14"/>
    <s v="600"/>
    <s v="DOUALA"/>
    <s v="PANZANI"/>
    <n v="30000"/>
    <s v="September"/>
  </r>
  <r>
    <s v="S-214"/>
    <s v="05/10/2026"/>
    <s v="Entretien"/>
    <s v="Sacs Poubelle"/>
    <s v="PROPRE"/>
    <x v="2"/>
    <x v="4"/>
    <s v="1200"/>
    <s v="GAROUA"/>
    <s v="PROPRE"/>
    <n v="18000"/>
    <s v="October"/>
  </r>
  <r>
    <s v="S-215"/>
    <s v="14/10/2026"/>
    <s v="Boissons"/>
    <s v="Soda 1.5L"/>
    <s v="TOP"/>
    <x v="3"/>
    <x v="2"/>
    <s v="600"/>
    <s v="BAFOUSSAM"/>
    <s v="TOP"/>
    <n v="12000"/>
    <s v="October"/>
  </r>
  <r>
    <s v="S-216"/>
    <s v="25/10/2026"/>
    <s v="Alimentaire"/>
    <s v="Farine de Maïs"/>
    <s v="TANTY"/>
    <x v="4"/>
    <x v="0"/>
    <s v="950"/>
    <s v="KRIBI"/>
    <s v="TANTY"/>
    <n v="9500"/>
    <s v="October"/>
  </r>
  <r>
    <s v="S-217"/>
    <s v="02/11/2026"/>
    <s v="Beauté"/>
    <s v="Dentifrice"/>
    <s v="COLGATE"/>
    <x v="0"/>
    <x v="8"/>
    <s v="800"/>
    <s v="DOUALA"/>
    <s v="COLGATE"/>
    <n v="9600"/>
    <s v="November"/>
  </r>
  <r>
    <s v="S-218"/>
    <s v="12/11/2026"/>
    <s v="Boissons"/>
    <s v="Malta Quiness"/>
    <s v="GUINNESS"/>
    <x v="1"/>
    <x v="18"/>
    <s v="650"/>
    <s v="YAOUNDÉ"/>
    <s v="GUINNESS"/>
    <n v="23400"/>
    <s v="November"/>
  </r>
  <r>
    <s v="S-219"/>
    <s v="22/11/2026"/>
    <s v="Entretien"/>
    <s v="Liquide Vaisselle"/>
    <s v="PAIC"/>
    <x v="2"/>
    <x v="10"/>
    <s v="1100"/>
    <s v="GAROUA"/>
    <s v="PAIC"/>
    <n v="6600"/>
    <s v="November"/>
  </r>
  <r>
    <s v="S-220"/>
    <s v="30/11/2026"/>
    <s v="Alimentaire"/>
    <s v="Riz Long Grain"/>
    <s v="CIGALE"/>
    <x v="3"/>
    <x v="1"/>
    <s v="3500"/>
    <s v="BAFOUSSAM"/>
    <s v="CIGALE"/>
    <n v="17500"/>
    <s v="November"/>
  </r>
  <r>
    <s v="S-221"/>
    <s v="05/12/2026"/>
    <s v="Boissons"/>
    <s v="Bière Brune"/>
    <s v="GUINNESS"/>
    <x v="0"/>
    <x v="7"/>
    <s v="800"/>
    <s v="DOUALA"/>
    <s v="GUINNESS"/>
    <n v="19200"/>
    <s v="December"/>
  </r>
  <r>
    <s v="S-222"/>
    <s v="12/12/2026"/>
    <s v="Alimentaire"/>
    <s v="Pâte à tartiner"/>
    <s v="CHOCOCAM"/>
    <x v="1"/>
    <x v="0"/>
    <s v="1800"/>
    <s v="YAOUNDÉ"/>
    <s v="CHOCOCAM"/>
    <n v="18000"/>
    <s v="December"/>
  </r>
  <r>
    <s v="S-223"/>
    <s v="18/12/2026"/>
    <s v="Boissons"/>
    <s v="Vin de Table"/>
    <s v="BVC"/>
    <x v="2"/>
    <x v="10"/>
    <s v="4500"/>
    <s v="GAROUA"/>
    <s v="BVC"/>
    <n v="27000"/>
    <s v="December"/>
  </r>
  <r>
    <s v="S-224"/>
    <s v="24/12/2026"/>
    <s v="Alimentaire"/>
    <s v="Dinde de Noël"/>
    <s v="AGROCAM"/>
    <x v="0"/>
    <x v="3"/>
    <s v="12500"/>
    <s v="DOUALA"/>
    <s v="AGROCAM"/>
    <n v="25000"/>
    <s v="December"/>
  </r>
  <r>
    <s v="S-225"/>
    <s v="30/12/2026"/>
    <s v="Beauté"/>
    <s v="Gel Douche"/>
    <s v="DOVE"/>
    <x v="3"/>
    <x v="8"/>
    <s v="2200"/>
    <s v="BAFOUSSAM"/>
    <s v="DOVE"/>
    <n v="26400"/>
    <s v="December"/>
  </r>
  <r>
    <s v="S-226"/>
    <s v="05/01/2026"/>
    <s v="Entretien"/>
    <s v="Lessive Poudre"/>
    <s v="ARIEL"/>
    <x v="4"/>
    <x v="6"/>
    <s v="4500"/>
    <s v="KRIBI"/>
    <s v="ARIEL"/>
    <n v="18000"/>
    <s v="January"/>
  </r>
  <r>
    <s v="S-227"/>
    <s v="12/01/2026"/>
    <s v="Alimentaire"/>
    <s v="Sel de cuisine"/>
    <s v="UCV"/>
    <x v="1"/>
    <x v="14"/>
    <s v="250"/>
    <s v="YAOUNDÉ"/>
    <s v="UCV"/>
    <n v="12500"/>
    <s v="January"/>
  </r>
  <r>
    <s v="S-228"/>
    <s v="20/01/2026"/>
    <s v="Boissons"/>
    <s v="Eau Vive"/>
    <s v="SEME"/>
    <x v="0"/>
    <x v="11"/>
    <s v="350"/>
    <s v="DOUALA"/>
    <s v="SEME"/>
    <n v="14000"/>
    <s v="January"/>
  </r>
  <r>
    <s v="S-229"/>
    <s v="28/01/2026"/>
    <s v="Beauté"/>
    <s v="Lait de Corps"/>
    <s v="TOPICREM"/>
    <x v="2"/>
    <x v="9"/>
    <s v="8500"/>
    <s v="GAROUA"/>
    <s v="TOPICREM"/>
    <n v="25500"/>
    <s v="January"/>
  </r>
  <r>
    <s v="S-230"/>
    <s v="05/02/2026"/>
    <s v="Entretien"/>
    <s v="Nettoyant Sol"/>
    <s v="AJAX"/>
    <x v="3"/>
    <x v="5"/>
    <s v="1400"/>
    <s v="BAFOUSSAM"/>
    <s v="AJAX"/>
    <n v="11200"/>
    <s v="February"/>
  </r>
  <r>
    <s v="S-231"/>
    <s v="14/02/2026"/>
    <s v="Alimentaire"/>
    <s v="Spaghetti"/>
    <s v="MAMAN"/>
    <x v="0"/>
    <x v="21"/>
    <s v="450"/>
    <s v="DOUALA"/>
    <s v="MAMAN"/>
    <n v="20250"/>
    <s v="February"/>
  </r>
  <r>
    <s v="S-232"/>
    <s v="25/02/2026"/>
    <s v="Boissons"/>
    <s v="Vimto Canette"/>
    <s v="SABC"/>
    <x v="1"/>
    <x v="7"/>
    <s v="500"/>
    <s v="YAOUNDÉ"/>
    <s v="SABC"/>
    <n v="12000"/>
    <s v="February"/>
  </r>
  <r>
    <s v="S-233"/>
    <s v="05/03/2026"/>
    <s v="Beauté"/>
    <s v="Crème mains"/>
    <s v="MIXA"/>
    <x v="2"/>
    <x v="1"/>
    <s v="2200"/>
    <s v="GAROUA"/>
    <s v="MIXA"/>
    <n v="11000"/>
    <s v="March"/>
  </r>
  <r>
    <s v="S-234"/>
    <s v="15/03/2026"/>
    <s v="Entretien"/>
    <s v="Éponge Grattante"/>
    <s v="SCOTCH"/>
    <x v="0"/>
    <x v="12"/>
    <s v="300"/>
    <s v="DOUALA"/>
    <s v="SCOTCH"/>
    <n v="9000"/>
    <s v="March"/>
  </r>
  <r>
    <s v="S-235"/>
    <s v="25/03/2026"/>
    <s v="Alimentaire"/>
    <s v="Mayonnaise"/>
    <s v="BAMA"/>
    <x v="4"/>
    <x v="6"/>
    <s v="1800"/>
    <s v="KRIBI"/>
    <s v="BAMA"/>
    <n v="7200"/>
    <s v="March"/>
  </r>
  <r>
    <s v="S-236"/>
    <s v="02/04/2026"/>
    <s v="Boissons"/>
    <s v="Top Orange"/>
    <s v="SABC"/>
    <x v="3"/>
    <x v="2"/>
    <s v="600"/>
    <s v="BAFOUSSAM"/>
    <s v="SABC"/>
    <n v="12000"/>
    <s v="April"/>
  </r>
  <r>
    <s v="S-237"/>
    <s v="12/04/2026"/>
    <s v="Alimentaire"/>
    <s v="Farine Blé"/>
    <s v="SGMC"/>
    <x v="1"/>
    <x v="13"/>
    <s v="750"/>
    <s v="YAOUNDÉ"/>
    <s v="SGMC"/>
    <n v="18750"/>
    <s v="April"/>
  </r>
  <r>
    <s v="S-238"/>
    <s v="22/04/2026"/>
    <s v="Beauté"/>
    <s v="Savon Noir"/>
    <s v="BIO"/>
    <x v="0"/>
    <x v="4"/>
    <s v="500"/>
    <s v="DOUALA"/>
    <s v="BIO"/>
    <n v="7500"/>
    <s v="April"/>
  </r>
  <r>
    <s v="S-239"/>
    <s v="30/04/2026"/>
    <s v="Entretien"/>
    <s v="Désodorisant"/>
    <s v="AIRWICK"/>
    <x v="2"/>
    <x v="0"/>
    <s v="1800"/>
    <s v="GAROUA"/>
    <s v="AIRWICK"/>
    <n v="18000"/>
    <s v="April"/>
  </r>
  <r>
    <s v="S-240"/>
    <s v="10/05/2026"/>
    <s v="Boissons"/>
    <s v="Eau Minérale"/>
    <s v="TANGUI"/>
    <x v="4"/>
    <x v="19"/>
    <s v="400"/>
    <s v="KRIBI"/>
    <s v="TANGUI"/>
    <n v="24000"/>
    <s v="May"/>
  </r>
  <r>
    <s v="S-241"/>
    <s v="20/05/2026"/>
    <s v="Alimentaire"/>
    <s v="Sardines"/>
    <s v="CONNETABLE"/>
    <x v="0"/>
    <x v="12"/>
    <s v="600"/>
    <s v="DOUALA"/>
    <s v="CONNETABLE"/>
    <n v="18000"/>
    <s v="May"/>
  </r>
  <r>
    <s v="S-242"/>
    <s v="30/05/2026"/>
    <s v="Beauté"/>
    <s v="Dentifrice Max"/>
    <s v="ORAL-B"/>
    <x v="1"/>
    <x v="8"/>
    <s v="1500"/>
    <s v="YAOUNDÉ"/>
    <s v="ORAL-B"/>
    <n v="18000"/>
    <s v="May"/>
  </r>
  <r>
    <s v="S-243"/>
    <s v="05/06/2026"/>
    <s v="Entretien"/>
    <s v="Essuie-tout"/>
    <s v="OKI"/>
    <x v="2"/>
    <x v="2"/>
    <s v="1200"/>
    <s v="GAROUA"/>
    <s v="OKI"/>
    <n v="24000"/>
    <s v="June"/>
  </r>
  <r>
    <s v="S-244"/>
    <s v="15/06/2026"/>
    <s v="Boissons"/>
    <s v="Soda"/>
    <s v="DJINO"/>
    <x v="3"/>
    <x v="8"/>
    <s v="600"/>
    <s v="BAFOUSSAM"/>
    <s v="DJINO"/>
    <n v="7200"/>
    <s v="June"/>
  </r>
  <r>
    <s v="S-245"/>
    <s v="25/06/2026"/>
    <s v="Alimentaire"/>
    <s v="Café Poudre"/>
    <s v="NESCAFE"/>
    <x v="0"/>
    <x v="10"/>
    <s v="3500"/>
    <s v="DOUALA"/>
    <s v="NESCAFE"/>
    <n v="21000"/>
    <s v="June"/>
  </r>
  <r>
    <s v="S-246"/>
    <s v="05/07/2026"/>
    <s v="Beauté"/>
    <s v="Shampooing"/>
    <s v="DOVE"/>
    <x v="4"/>
    <x v="6"/>
    <s v="2500"/>
    <s v="KRIBI"/>
    <s v="DOVE"/>
    <n v="10000"/>
    <s v="July"/>
  </r>
  <r>
    <s v="S-247"/>
    <s v="15/07/2026"/>
    <s v="Boissons"/>
    <s v="Yaourt à boire"/>
    <s v="DOLAIT"/>
    <x v="1"/>
    <x v="2"/>
    <s v="500"/>
    <s v="YAOUNDÉ"/>
    <s v="DOLAIT"/>
    <n v="10000"/>
    <s v="July"/>
  </r>
  <r>
    <s v="S-248"/>
    <s v="25/07/2026"/>
    <s v="Entretien"/>
    <s v="Javel 1L"/>
    <s v="LACROIX"/>
    <x v="0"/>
    <x v="0"/>
    <s v="850"/>
    <s v="DOUALA"/>
    <s v="LACROIX"/>
    <n v="8500"/>
    <s v="July"/>
  </r>
  <r>
    <s v="S-249"/>
    <s v="05/08/2026"/>
    <s v="Alimentaire"/>
    <s v="Huile de Palme"/>
    <s v="AZUR"/>
    <x v="2"/>
    <x v="1"/>
    <s v="1500"/>
    <s v="GAROUA"/>
    <s v="AZUR"/>
    <n v="7500"/>
    <s v="August"/>
  </r>
  <r>
    <s v="S-250"/>
    <s v="15/08/2026"/>
    <s v="Boissons"/>
    <s v="Mützig Canette"/>
    <s v="SABC"/>
    <x v="3"/>
    <x v="18"/>
    <s v="700"/>
    <s v="BAFOUSSAM"/>
    <s v="SABC"/>
    <n v="25200"/>
    <s v="August"/>
  </r>
  <r>
    <s v="S-251"/>
    <s v="25/08/2026"/>
    <s v="Alimentaire"/>
    <s v="Riz Long Grain"/>
    <s v="CIGALE"/>
    <x v="0"/>
    <x v="0"/>
    <s v="3500"/>
    <s v="DOUALA"/>
    <s v="CIGALE"/>
    <n v="35000"/>
    <s v="August"/>
  </r>
  <r>
    <s v="S-252"/>
    <s v="05/09/2026"/>
    <s v="Beauté"/>
    <s v="Savon Toilette"/>
    <s v="CAMAY"/>
    <x v="1"/>
    <x v="8"/>
    <s v="500"/>
    <s v="YAOUNDÉ"/>
    <s v="CAMAY"/>
    <n v="6000"/>
    <s v="September"/>
  </r>
  <r>
    <s v="S-253"/>
    <s v="15/09/2026"/>
    <s v="Boissons"/>
    <s v="Limonade"/>
    <s v="KADJI"/>
    <x v="2"/>
    <x v="2"/>
    <s v="700"/>
    <s v="GAROUA"/>
    <s v="KADJI"/>
    <n v="14000"/>
    <s v="September"/>
  </r>
  <r>
    <s v="S-254"/>
    <s v="25/09/2026"/>
    <s v="Entretien"/>
    <s v="Nettoyant Vitres"/>
    <s v="AJAX"/>
    <x v="0"/>
    <x v="0"/>
    <s v="1400"/>
    <s v="DOUALA"/>
    <s v="AJAX"/>
    <n v="14000"/>
    <s v="September"/>
  </r>
  <r>
    <s v="S-255"/>
    <s v="05/10/2026"/>
    <s v="Alimentaire"/>
    <s v="Chocolat Tartiner"/>
    <s v="TARTINA"/>
    <x v="4"/>
    <x v="10"/>
    <s v="2500"/>
    <s v="KRIBI"/>
    <s v="TARTINA"/>
    <n v="15000"/>
    <s v="October"/>
  </r>
  <r>
    <s v="S-256"/>
    <s v="15/10/2026"/>
    <s v="Boissons"/>
    <s v="Bière Blonde"/>
    <s v="CASTEL"/>
    <x v="1"/>
    <x v="7"/>
    <s v="650"/>
    <s v="YAOUNDÉ"/>
    <s v="CASTEL"/>
    <n v="15600"/>
    <s v="October"/>
  </r>
  <r>
    <s v="S-257"/>
    <s v="25/10/2026"/>
    <s v="Alimentaire"/>
    <s v="Pâtes 500g"/>
    <s v="PANZANI"/>
    <x v="0"/>
    <x v="12"/>
    <s v="600"/>
    <s v="DOUALA"/>
    <s v="PANZANI"/>
    <n v="18000"/>
    <s v="October"/>
  </r>
  <r>
    <s v="S-258"/>
    <s v="05/11/2026"/>
    <s v="Beauté"/>
    <s v="Lotion Corps"/>
    <s v="NIVEA"/>
    <x v="2"/>
    <x v="5"/>
    <s v="3200"/>
    <s v="GAROUA"/>
    <s v="NIVEA"/>
    <n v="25600"/>
    <s v="November"/>
  </r>
  <r>
    <s v="S-259"/>
    <s v="15/11/2026"/>
    <s v="Boissons"/>
    <s v="Eau Gazeuse"/>
    <s v="SABC"/>
    <x v="3"/>
    <x v="12"/>
    <s v="600"/>
    <s v="BAFOUSSAM"/>
    <s v="SABC"/>
    <n v="18000"/>
    <s v="November"/>
  </r>
  <r>
    <s v="S-260"/>
    <s v="25/11/2026"/>
    <s v="Entretien"/>
    <s v="Sacs Poubelle"/>
    <s v="PROPRE"/>
    <x v="0"/>
    <x v="2"/>
    <s v="1200"/>
    <s v="DOUALA"/>
    <s v="PROPRE"/>
    <n v="24000"/>
    <s v="November"/>
  </r>
  <r>
    <s v="S-261"/>
    <s v="02/12/2026"/>
    <s v="Alimentaire"/>
    <s v="Beurre de Table"/>
    <s v="JADIDA"/>
    <x v="1"/>
    <x v="8"/>
    <s v="1200"/>
    <s v="YAOUNDÉ"/>
    <s v="JADIDA"/>
    <n v="14400"/>
    <s v="December"/>
  </r>
  <r>
    <s v="S-262"/>
    <s v="08/12/2026"/>
    <s v="Boissons"/>
    <s v="Jus de Fruits"/>
    <s v="TOP"/>
    <x v="2"/>
    <x v="4"/>
    <s v="600"/>
    <s v="GAROUA"/>
    <s v="TOP"/>
    <n v="9000"/>
    <s v="December"/>
  </r>
  <r>
    <s v="S-263"/>
    <s v="15/12/2026"/>
    <s v="Beauté"/>
    <s v="Parfum de luxe"/>
    <s v="CHANEL"/>
    <x v="0"/>
    <x v="15"/>
    <s v="75000"/>
    <s v="DOUALA"/>
    <s v="CHANEL"/>
    <n v="75000"/>
    <s v="December"/>
  </r>
  <r>
    <s v="S-264"/>
    <s v="20/12/2026"/>
    <s v="Alimentaire"/>
    <s v="Sucre en Poudre"/>
    <s v="SOSUCAM"/>
    <x v="4"/>
    <x v="13"/>
    <s v="850"/>
    <s v="KRIBI"/>
    <s v="SOSUCAM"/>
    <n v="21250"/>
    <s v="December"/>
  </r>
  <r>
    <s v="S-265"/>
    <s v="24/12/2026"/>
    <s v="Boissons"/>
    <s v="Whisky Premium"/>
    <s v="CHIVAS"/>
    <x v="1"/>
    <x v="3"/>
    <s v="35000"/>
    <s v="YAOUNDÉ"/>
    <s v="CHIVAS"/>
    <n v="70000"/>
    <s v="December"/>
  </r>
  <r>
    <s v="S-266"/>
    <s v="28/12/2026"/>
    <s v="Entretien"/>
    <s v="Lessive Liquide"/>
    <s v="MADAR"/>
    <x v="0"/>
    <x v="1"/>
    <s v="1200"/>
    <s v="DOUALA"/>
    <s v="MADAR"/>
    <n v="6000"/>
    <s v="December"/>
  </r>
  <r>
    <s v="S-267"/>
    <s v="30/12/2026"/>
    <s v="Alimentaire"/>
    <s v="Farine Blé"/>
    <s v="SGMC"/>
    <x v="2"/>
    <x v="2"/>
    <s v="750"/>
    <s v="GAROUA"/>
    <s v="SGMC"/>
    <n v="15000"/>
    <s v="December"/>
  </r>
  <r>
    <s v="S-268"/>
    <s v="02/01/2026"/>
    <s v="Boissons"/>
    <s v="Eau Minérale"/>
    <s v="SUPERMONT"/>
    <x v="3"/>
    <x v="14"/>
    <s v="250"/>
    <s v="BAFOUSSAM"/>
    <s v="SUPERMONT"/>
    <n v="12500"/>
    <s v="January"/>
  </r>
  <r>
    <s v="S-269"/>
    <s v="10/01/2026"/>
    <s v="Beauté"/>
    <s v="Dentifrice Max"/>
    <s v="ORAL-B"/>
    <x v="0"/>
    <x v="8"/>
    <s v="1500"/>
    <s v="DOUALA"/>
    <s v="ORAL-B"/>
    <n v="18000"/>
    <s v="January"/>
  </r>
  <r>
    <s v="S-270"/>
    <s v="15/01/2026"/>
    <s v="Alimentaire"/>
    <s v="Miel Naturel"/>
    <s v="VITA"/>
    <x v="1"/>
    <x v="6"/>
    <s v="3500"/>
    <s v="YAOUNDÉ"/>
    <s v="VITA"/>
    <n v="14000"/>
    <s v="January"/>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B1E58FA-F276-4589-912C-488C7EA39747}" name="Tableau croisé dynamique6" cacheId="33" applyNumberFormats="0" applyBorderFormats="0" applyFontFormats="0" applyPatternFormats="0" applyAlignmentFormats="0" applyWidthHeightFormats="1" dataCaption="Valeurs" updatedVersion="8" minRefreshableVersion="3" useAutoFormatting="1" itemPrintTitles="1" createdVersion="8" indent="0" outline="1" outlineData="1" multipleFieldFilters="0" chartFormat="4">
  <location ref="I3:I36" firstHeaderRow="1" firstDataRow="1" firstDataCol="1"/>
  <pivotFields count="12">
    <pivotField showAll="0"/>
    <pivotField showAll="0"/>
    <pivotField showAll="0"/>
    <pivotField showAll="0"/>
    <pivotField showAll="0"/>
    <pivotField axis="axisRow" showAll="0">
      <items count="6">
        <item h="1" x="3"/>
        <item h="1" x="0"/>
        <item h="1" x="2"/>
        <item h="1" x="4"/>
        <item x="1"/>
        <item t="default"/>
      </items>
    </pivotField>
    <pivotField axis="axisRow" showAll="0">
      <items count="23">
        <item x="15"/>
        <item x="0"/>
        <item x="16"/>
        <item x="8"/>
        <item x="4"/>
        <item x="20"/>
        <item x="3"/>
        <item x="2"/>
        <item x="7"/>
        <item x="13"/>
        <item x="9"/>
        <item x="12"/>
        <item x="18"/>
        <item x="6"/>
        <item x="11"/>
        <item x="21"/>
        <item x="17"/>
        <item x="1"/>
        <item x="14"/>
        <item x="10"/>
        <item x="19"/>
        <item x="5"/>
        <item t="default"/>
      </items>
    </pivotField>
    <pivotField showAll="0"/>
    <pivotField showAll="0"/>
    <pivotField showAll="0"/>
    <pivotField numFmtId="43" showAll="0"/>
    <pivotField showAll="0"/>
  </pivotFields>
  <rowFields count="2">
    <field x="6"/>
    <field x="5"/>
  </rowFields>
  <rowItems count="33">
    <i>
      <x v="1"/>
    </i>
    <i r="1">
      <x v="4"/>
    </i>
    <i>
      <x v="3"/>
    </i>
    <i r="1">
      <x v="4"/>
    </i>
    <i>
      <x v="4"/>
    </i>
    <i r="1">
      <x v="4"/>
    </i>
    <i>
      <x v="5"/>
    </i>
    <i r="1">
      <x v="4"/>
    </i>
    <i>
      <x v="6"/>
    </i>
    <i r="1">
      <x v="4"/>
    </i>
    <i>
      <x v="7"/>
    </i>
    <i r="1">
      <x v="4"/>
    </i>
    <i>
      <x v="8"/>
    </i>
    <i r="1">
      <x v="4"/>
    </i>
    <i>
      <x v="9"/>
    </i>
    <i r="1">
      <x v="4"/>
    </i>
    <i>
      <x v="10"/>
    </i>
    <i r="1">
      <x v="4"/>
    </i>
    <i>
      <x v="11"/>
    </i>
    <i r="1">
      <x v="4"/>
    </i>
    <i>
      <x v="12"/>
    </i>
    <i r="1">
      <x v="4"/>
    </i>
    <i>
      <x v="13"/>
    </i>
    <i r="1">
      <x v="4"/>
    </i>
    <i>
      <x v="17"/>
    </i>
    <i r="1">
      <x v="4"/>
    </i>
    <i>
      <x v="18"/>
    </i>
    <i r="1">
      <x v="4"/>
    </i>
    <i>
      <x v="19"/>
    </i>
    <i r="1">
      <x v="4"/>
    </i>
    <i>
      <x v="21"/>
    </i>
    <i r="1">
      <x v="4"/>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8098622-9CCA-4EE1-BA97-8D8160DD7EB9}" name="Tableau croisé dynamique7" cacheId="39" applyNumberFormats="0" applyBorderFormats="0" applyFontFormats="0" applyPatternFormats="0" applyAlignmentFormats="0" applyWidthHeightFormats="1" dataCaption="Valeurs" updatedVersion="8" minRefreshableVersion="3" useAutoFormatting="1" subtotalHiddenItems="1" itemPrintTitles="1" createdVersion="8" indent="0" outline="1" outlineData="1" multipleFieldFilters="0" chartFormat="20">
  <location ref="K3:L9" firstHeaderRow="1" firstDataRow="1" firstDataCol="1"/>
  <pivotFields count="2">
    <pivotField axis="axisRow" allDrilled="1" subtotalTop="0" showAll="0" measureFilter="1"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name="Somme de CA TOTAL" fld="1" baseField="0" baseItem="0"/>
  </dataFields>
  <chartFormats count="1">
    <chartFormat chart="19" format="2" series="1">
      <pivotArea type="data" outline="0" fieldPosition="0">
        <references count="1">
          <reference field="4294967294" count="1" selected="0">
            <x v="0"/>
          </reference>
        </references>
      </pivotArea>
    </chartFormat>
  </chartFormats>
  <pivotHierarchies count="1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filters count="1">
    <filter fld="0" type="count" id="1" iMeasureHier="14">
      <autoFilter ref="A1">
        <filterColumn colId="0">
          <top10 val="5" filterVal="5"/>
        </filterColumn>
      </autoFilter>
    </filter>
  </filters>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uperMarket.xlsx!SuperMarket">
        <x15:activeTabTopLevelEntity name="[SuperMark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E35C13B-78DB-49FD-B13C-CA144FE7940F}" name="Tableau croisé dynamique3" cacheId="11" applyNumberFormats="0" applyBorderFormats="0" applyFontFormats="0" applyPatternFormats="0" applyAlignmentFormats="0" applyWidthHeightFormats="1" dataCaption="Valeurs" updatedVersion="8" minRefreshableVersion="3" useAutoFormatting="1" itemPrintTitles="1" createdVersion="8" indent="0" outline="1" outlineData="1" multipleFieldFilters="0" chartFormat="18">
  <location ref="F3:G9" firstHeaderRow="1" firstDataRow="1" firstDataCol="1"/>
  <pivotFields count="12">
    <pivotField showAll="0"/>
    <pivotField showAll="0"/>
    <pivotField axis="axisRow" showAll="0">
      <items count="6">
        <item x="0"/>
        <item x="3"/>
        <item x="2"/>
        <item x="1"/>
        <item x="4"/>
        <item t="default"/>
      </items>
    </pivotField>
    <pivotField showAll="0"/>
    <pivotField showAll="0"/>
    <pivotField showAll="0"/>
    <pivotField showAll="0"/>
    <pivotField showAll="0"/>
    <pivotField showAll="0"/>
    <pivotField showAll="0"/>
    <pivotField dataField="1" showAll="0"/>
    <pivotField showAll="0"/>
  </pivotFields>
  <rowFields count="1">
    <field x="2"/>
  </rowFields>
  <rowItems count="6">
    <i>
      <x/>
    </i>
    <i>
      <x v="1"/>
    </i>
    <i>
      <x v="2"/>
    </i>
    <i>
      <x v="3"/>
    </i>
    <i>
      <x v="4"/>
    </i>
    <i t="grand">
      <x/>
    </i>
  </rowItems>
  <colItems count="1">
    <i/>
  </colItems>
  <dataFields count="1">
    <dataField name="Somme de CA TOTAL" fld="10" baseField="0" baseItem="0"/>
  </dataFields>
  <chartFormats count="18">
    <chartFormat chart="3" format="1" series="1">
      <pivotArea type="data" outline="0" fieldPosition="0">
        <references count="1">
          <reference field="4294967294" count="1" selected="0">
            <x v="0"/>
          </reference>
        </references>
      </pivotArea>
    </chartFormat>
    <chartFormat chart="3" format="2">
      <pivotArea type="data" outline="0" fieldPosition="0">
        <references count="2">
          <reference field="4294967294" count="1" selected="0">
            <x v="0"/>
          </reference>
          <reference field="2" count="1" selected="0">
            <x v="0"/>
          </reference>
        </references>
      </pivotArea>
    </chartFormat>
    <chartFormat chart="3" format="3">
      <pivotArea type="data" outline="0" fieldPosition="0">
        <references count="2">
          <reference field="4294967294" count="1" selected="0">
            <x v="0"/>
          </reference>
          <reference field="2" count="1" selected="0">
            <x v="1"/>
          </reference>
        </references>
      </pivotArea>
    </chartFormat>
    <chartFormat chart="3" format="4">
      <pivotArea type="data" outline="0" fieldPosition="0">
        <references count="2">
          <reference field="4294967294" count="1" selected="0">
            <x v="0"/>
          </reference>
          <reference field="2" count="1" selected="0">
            <x v="2"/>
          </reference>
        </references>
      </pivotArea>
    </chartFormat>
    <chartFormat chart="3" format="5">
      <pivotArea type="data" outline="0" fieldPosition="0">
        <references count="2">
          <reference field="4294967294" count="1" selected="0">
            <x v="0"/>
          </reference>
          <reference field="2" count="1" selected="0">
            <x v="3"/>
          </reference>
        </references>
      </pivotArea>
    </chartFormat>
    <chartFormat chart="3" format="6">
      <pivotArea type="data" outline="0" fieldPosition="0">
        <references count="2">
          <reference field="4294967294" count="1" selected="0">
            <x v="0"/>
          </reference>
          <reference field="2" count="1" selected="0">
            <x v="4"/>
          </reference>
        </references>
      </pivotArea>
    </chartFormat>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2" count="1" selected="0">
            <x v="0"/>
          </reference>
        </references>
      </pivotArea>
    </chartFormat>
    <chartFormat chart="4" format="9">
      <pivotArea type="data" outline="0" fieldPosition="0">
        <references count="2">
          <reference field="4294967294" count="1" selected="0">
            <x v="0"/>
          </reference>
          <reference field="2" count="1" selected="0">
            <x v="1"/>
          </reference>
        </references>
      </pivotArea>
    </chartFormat>
    <chartFormat chart="4" format="10">
      <pivotArea type="data" outline="0" fieldPosition="0">
        <references count="2">
          <reference field="4294967294" count="1" selected="0">
            <x v="0"/>
          </reference>
          <reference field="2" count="1" selected="0">
            <x v="2"/>
          </reference>
        </references>
      </pivotArea>
    </chartFormat>
    <chartFormat chart="4" format="11">
      <pivotArea type="data" outline="0" fieldPosition="0">
        <references count="2">
          <reference field="4294967294" count="1" selected="0">
            <x v="0"/>
          </reference>
          <reference field="2" count="1" selected="0">
            <x v="3"/>
          </reference>
        </references>
      </pivotArea>
    </chartFormat>
    <chartFormat chart="4" format="12">
      <pivotArea type="data" outline="0" fieldPosition="0">
        <references count="2">
          <reference field="4294967294" count="1" selected="0">
            <x v="0"/>
          </reference>
          <reference field="2" count="1" selected="0">
            <x v="4"/>
          </reference>
        </references>
      </pivotArea>
    </chartFormat>
    <chartFormat chart="15" format="8" series="1">
      <pivotArea type="data" outline="0" fieldPosition="0">
        <references count="1">
          <reference field="4294967294" count="1" selected="0">
            <x v="0"/>
          </reference>
        </references>
      </pivotArea>
    </chartFormat>
    <chartFormat chart="15" format="9">
      <pivotArea type="data" outline="0" fieldPosition="0">
        <references count="2">
          <reference field="4294967294" count="1" selected="0">
            <x v="0"/>
          </reference>
          <reference field="2" count="1" selected="0">
            <x v="0"/>
          </reference>
        </references>
      </pivotArea>
    </chartFormat>
    <chartFormat chart="15" format="10">
      <pivotArea type="data" outline="0" fieldPosition="0">
        <references count="2">
          <reference field="4294967294" count="1" selected="0">
            <x v="0"/>
          </reference>
          <reference field="2" count="1" selected="0">
            <x v="1"/>
          </reference>
        </references>
      </pivotArea>
    </chartFormat>
    <chartFormat chart="15" format="11">
      <pivotArea type="data" outline="0" fieldPosition="0">
        <references count="2">
          <reference field="4294967294" count="1" selected="0">
            <x v="0"/>
          </reference>
          <reference field="2" count="1" selected="0">
            <x v="2"/>
          </reference>
        </references>
      </pivotArea>
    </chartFormat>
    <chartFormat chart="15" format="12">
      <pivotArea type="data" outline="0" fieldPosition="0">
        <references count="2">
          <reference field="4294967294" count="1" selected="0">
            <x v="0"/>
          </reference>
          <reference field="2" count="1" selected="0">
            <x v="3"/>
          </reference>
        </references>
      </pivotArea>
    </chartFormat>
    <chartFormat chart="15" format="13">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BF572A8-F9CB-447A-88B1-FF8129C30C41}" name="Tableau croisé dynamique2" cacheId="7" applyNumberFormats="0" applyBorderFormats="0" applyFontFormats="0" applyPatternFormats="0" applyAlignmentFormats="0" applyWidthHeightFormats="1" dataCaption="Valeurs" updatedVersion="8" minRefreshableVersion="3" useAutoFormatting="1" itemPrintTitles="1" createdVersion="8" indent="0" outline="1" outlineData="1" multipleFieldFilters="0" chartFormat="4">
  <location ref="A3:B5" firstHeaderRow="1" firstDataRow="1" firstDataCol="1"/>
  <pivotFields count="8">
    <pivotField showAll="0"/>
    <pivotField showAll="0"/>
    <pivotField showAll="0"/>
    <pivotField showAll="0"/>
    <pivotField showAll="0"/>
    <pivotField showAll="0"/>
    <pivotField dataField="1" numFmtId="43" showAll="0"/>
    <pivotField axis="axisRow" showAll="0">
      <items count="13">
        <item x="0"/>
        <item h="1" x="1"/>
        <item h="1" x="2"/>
        <item h="1" x="3"/>
        <item h="1" x="4"/>
        <item h="1" x="5"/>
        <item h="1" x="6"/>
        <item h="1" x="7"/>
        <item h="1" x="8"/>
        <item h="1" x="9"/>
        <item h="1" x="10"/>
        <item h="1" x="11"/>
        <item t="default"/>
      </items>
    </pivotField>
  </pivotFields>
  <rowFields count="1">
    <field x="7"/>
  </rowFields>
  <rowItems count="2">
    <i>
      <x/>
    </i>
    <i t="grand">
      <x/>
    </i>
  </rowItems>
  <colItems count="1">
    <i/>
  </colItems>
  <dataFields count="1">
    <dataField name="Somme de CA TOTAL" fld="6" baseField="0" baseItem="0" numFmtId="43"/>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onnéesExternes_1" connectionId="1" xr16:uid="{B5847BC7-8FB2-478A-8964-3295DCC9B12B}" autoFormatId="16" applyNumberFormats="0" applyBorderFormats="0" applyFontFormats="0" applyPatternFormats="0" applyAlignmentFormats="0" applyWidthHeightFormats="0">
  <queryTableRefresh nextId="15" unboundColumnsRight="4">
    <queryTableFields count="12">
      <queryTableField id="1" name="Column1.1" tableColumnId="1"/>
      <queryTableField id="2" name="Column1.2" tableColumnId="2"/>
      <queryTableField id="3" name="Column1.3" tableColumnId="3"/>
      <queryTableField id="4" name="Column1.4" tableColumnId="4"/>
      <queryTableField id="5" name="Column1.5" tableColumnId="5"/>
      <queryTableField id="6" name="Column1.6" tableColumnId="6"/>
      <queryTableField id="7" name="Column1.7" tableColumnId="7"/>
      <queryTableField id="8" name="Column1.8" tableColumnId="8"/>
      <queryTableField id="9" dataBound="0" tableColumnId="9"/>
      <queryTableField id="10" dataBound="0" tableColumnId="10"/>
      <queryTableField id="11" dataBound="0" tableColumnId="11"/>
      <queryTableField id="14" dataBound="0" tableColumnId="1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_Ville" xr10:uid="{07367A8F-F684-437B-BCBA-F42FA5A37E47}" sourceName="Ville">
  <pivotTables>
    <pivotTable tabId="1" name="Tableau croisé dynamique6"/>
  </pivotTables>
  <data>
    <tabular pivotCacheId="1524441332">
      <items count="5">
        <i x="3"/>
        <i x="0"/>
        <i x="2"/>
        <i x="4"/>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_MOIS" xr10:uid="{3586663C-C11D-4B4D-9F7D-BAB37E647AC3}" sourceName="MOIS">
  <pivotTables>
    <pivotTable tabId="1" name="Tableau croisé dynamique2"/>
  </pivotTables>
  <data>
    <tabular pivotCacheId="1396865579">
      <items count="12">
        <i x="0" s="1"/>
        <i x="1"/>
        <i x="2"/>
        <i x="3"/>
        <i x="4"/>
        <i x="5"/>
        <i x="6"/>
        <i x="7"/>
        <i x="8"/>
        <i x="9"/>
        <i x="10"/>
        <i x="1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Ville" xr10:uid="{7BFC02FF-6AE2-4C57-A2E1-3A55F429BAE1}" cache="Segment_Ville" caption="Ville" rowHeight="234950"/>
  <slicer name="MOIS" xr10:uid="{92245357-0DD3-4415-AD81-7DD09D7140BA}" cache="Segment_MOIS" caption="MOIS"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6466195-7F32-480C-A309-0CC408A5A9E5}" name="SuperMarket" displayName="SuperMarket" ref="A1:L271" tableType="queryTable" totalsRowShown="0">
  <autoFilter ref="A1:L271" xr:uid="{16466195-7F32-480C-A309-0CC408A5A9E5}"/>
  <tableColumns count="12">
    <tableColumn id="1" xr3:uid="{DB8BA5A7-1CDE-49CE-A85A-C9DA0C109BB9}" uniqueName="1" name="ID_Vente" queryTableFieldId="1" dataDxfId="10"/>
    <tableColumn id="2" xr3:uid="{3EE2A94F-2ED7-40DC-9125-CD15E572194F}" uniqueName="2" name="Date" queryTableFieldId="2" dataDxfId="9"/>
    <tableColumn id="3" xr3:uid="{7E8A664B-FCE3-4D8A-BCFC-9D9D6AF08B54}" uniqueName="3" name="Rayon" queryTableFieldId="3" dataDxfId="8"/>
    <tableColumn id="4" xr3:uid="{12417533-9EBC-4020-8766-6ACCA644ACF9}" uniqueName="4" name="Produit" queryTableFieldId="4" dataDxfId="7"/>
    <tableColumn id="5" xr3:uid="{E7D2494A-C0DA-4145-B1BC-C2856EBE2084}" uniqueName="5" name="Marque" queryTableFieldId="5" dataDxfId="6"/>
    <tableColumn id="6" xr3:uid="{4F2CF9E7-F2F6-4468-99CE-4155530C8DFB}" uniqueName="6" name="Ville" queryTableFieldId="6" dataDxfId="5"/>
    <tableColumn id="7" xr3:uid="{005E04E3-A019-40D1-B25A-4B2DB0DEE766}" uniqueName="7" name="Qté" queryTableFieldId="7" dataDxfId="4"/>
    <tableColumn id="8" xr3:uid="{CF119ECE-843D-4D32-A7E3-D37E77837D8B}" uniqueName="8" name="Prix_Unit" queryTableFieldId="8" dataDxfId="3" dataCellStyle="Monétaire"/>
    <tableColumn id="9" xr3:uid="{A5E8A228-4296-4B27-9CBB-28B3E5AFC3C7}" uniqueName="9" name="VILLE2" queryTableFieldId="9" dataDxfId="2">
      <calculatedColumnFormula>UPPER(SuperMarket[Ville])</calculatedColumnFormula>
    </tableColumn>
    <tableColumn id="10" xr3:uid="{24A7CE05-31C8-40C1-B6C9-A23781982A1D}" uniqueName="10" name="MARQUE2" queryTableFieldId="10" dataDxfId="1">
      <calculatedColumnFormula>UPPER(SuperMarket[Marque])</calculatedColumnFormula>
    </tableColumn>
    <tableColumn id="11" xr3:uid="{97C42981-7370-4B89-B8DD-BF5EEA49596C}" uniqueName="11" name="CA TOTAL" queryTableFieldId="11" dataCellStyle="Milliers">
      <calculatedColumnFormula>(SuperMarket[[#This Row],[Qté]]*SuperMarket[[#This Row],[Prix_Unit]])</calculatedColumnFormula>
    </tableColumn>
    <tableColumn id="12" xr3:uid="{460B7D31-4E88-48A4-AC8B-C92E99B88415}" uniqueName="12" name="MOIS" queryTableFieldId="14" dataDxfId="0">
      <calculatedColumnFormula>TEXT(DATE(RIGHT(SuperMarket[[#This Row],[Date]],4),MID(SuperMarket[[#This Row],[Date]],4,2),LEFT(SuperMarket[[#This Row],[Date]],2)),"mmmm")</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E714B5-ED10-48F8-A2DD-CFDE9703ADC6}">
  <dimension ref="A1:L273"/>
  <sheetViews>
    <sheetView topLeftCell="A2" zoomScale="70" zoomScaleNormal="70" workbookViewId="0">
      <selection activeCell="B9" sqref="B9"/>
    </sheetView>
  </sheetViews>
  <sheetFormatPr baseColWidth="10" defaultRowHeight="14.4" x14ac:dyDescent="0.3"/>
  <cols>
    <col min="1" max="1" width="12.33203125" bestFit="1" customWidth="1"/>
    <col min="2" max="2" width="12.33203125" style="3" bestFit="1" customWidth="1"/>
    <col min="3" max="3" width="12.33203125" bestFit="1" customWidth="1"/>
    <col min="4" max="4" width="17.109375" bestFit="1" customWidth="1"/>
    <col min="5" max="5" width="19.109375" bestFit="1" customWidth="1"/>
    <col min="6" max="7" width="12.33203125" bestFit="1" customWidth="1"/>
    <col min="8" max="8" width="12.33203125" style="1" bestFit="1" customWidth="1"/>
    <col min="11" max="11" width="15.77734375" style="5" bestFit="1" customWidth="1"/>
  </cols>
  <sheetData>
    <row r="1" spans="1:12" x14ac:dyDescent="0.3">
      <c r="A1" t="s">
        <v>0</v>
      </c>
      <c r="B1" s="3" t="s">
        <v>1</v>
      </c>
      <c r="C1" t="s">
        <v>2</v>
      </c>
      <c r="D1" t="s">
        <v>3</v>
      </c>
      <c r="E1" t="s">
        <v>4</v>
      </c>
      <c r="F1" t="s">
        <v>5</v>
      </c>
      <c r="G1" t="s">
        <v>6</v>
      </c>
      <c r="H1" s="2" t="s">
        <v>7</v>
      </c>
      <c r="I1" t="s">
        <v>718</v>
      </c>
      <c r="J1" t="s">
        <v>719</v>
      </c>
      <c r="K1" s="5" t="s">
        <v>720</v>
      </c>
      <c r="L1" t="s">
        <v>721</v>
      </c>
    </row>
    <row r="2" spans="1:12" x14ac:dyDescent="0.3">
      <c r="A2" t="s">
        <v>8</v>
      </c>
      <c r="B2" s="3" t="s">
        <v>9</v>
      </c>
      <c r="C2" t="s">
        <v>10</v>
      </c>
      <c r="D2" t="s">
        <v>11</v>
      </c>
      <c r="E2" t="s">
        <v>12</v>
      </c>
      <c r="F2" t="s">
        <v>13</v>
      </c>
      <c r="G2" t="s">
        <v>14</v>
      </c>
      <c r="H2" s="1" t="s">
        <v>15</v>
      </c>
      <c r="I2" t="str">
        <f>UPPER(SuperMarket[Ville])</f>
        <v>DOUALA</v>
      </c>
      <c r="J2" t="str">
        <f>UPPER(SuperMarket[Marque])</f>
        <v>NEÏMA</v>
      </c>
      <c r="K2" s="5">
        <f>(SuperMarket[[#This Row],[Qté]]*SuperMarket[[#This Row],[Prix_Unit]])</f>
        <v>45000</v>
      </c>
      <c r="L2" s="4" t="str">
        <f>TEXT(DATE(RIGHT(SuperMarket[[#This Row],[Date]],4),MID(SuperMarket[[#This Row],[Date]],4,2),LEFT(SuperMarket[[#This Row],[Date]],2)),"mmmm")</f>
        <v>January</v>
      </c>
    </row>
    <row r="3" spans="1:12" x14ac:dyDescent="0.3">
      <c r="A3" t="s">
        <v>16</v>
      </c>
      <c r="B3" s="3" t="s">
        <v>17</v>
      </c>
      <c r="C3" t="s">
        <v>18</v>
      </c>
      <c r="D3" t="s">
        <v>19</v>
      </c>
      <c r="E3" t="s">
        <v>20</v>
      </c>
      <c r="F3" t="s">
        <v>21</v>
      </c>
      <c r="G3" t="s">
        <v>22</v>
      </c>
      <c r="H3" s="1" t="s">
        <v>23</v>
      </c>
      <c r="I3" t="str">
        <f>UPPER(SuperMarket[Ville])</f>
        <v>YAOUNDÉ</v>
      </c>
      <c r="J3" t="str">
        <f>UPPER(SuperMarket[Marque])</f>
        <v>OMO</v>
      </c>
      <c r="K3" s="5">
        <f>(SuperMarket[[#This Row],[Qté]]*SuperMarket[[#This Row],[Prix_Unit]])</f>
        <v>6000</v>
      </c>
      <c r="L3" s="4" t="str">
        <f>TEXT(DATE(RIGHT(SuperMarket[[#This Row],[Date]],4),MID(SuperMarket[[#This Row],[Date]],4,2),LEFT(SuperMarket[[#This Row],[Date]],2)),"mmmm")</f>
        <v>January</v>
      </c>
    </row>
    <row r="4" spans="1:12" x14ac:dyDescent="0.3">
      <c r="A4" t="s">
        <v>24</v>
      </c>
      <c r="B4" s="3" t="s">
        <v>25</v>
      </c>
      <c r="C4" t="s">
        <v>26</v>
      </c>
      <c r="D4" t="s">
        <v>27</v>
      </c>
      <c r="E4" t="s">
        <v>28</v>
      </c>
      <c r="F4" t="s">
        <v>29</v>
      </c>
      <c r="G4" t="s">
        <v>30</v>
      </c>
      <c r="H4" s="1" t="s">
        <v>31</v>
      </c>
      <c r="I4" t="str">
        <f>UPPER(SuperMarket[Ville])</f>
        <v>GAROUA</v>
      </c>
      <c r="J4" t="str">
        <f>UPPER(SuperMarket[Marque])</f>
        <v>TANGUI</v>
      </c>
      <c r="K4" s="5">
        <f>(SuperMarket[[#This Row],[Qté]]*SuperMarket[[#This Row],[Prix_Unit]])</f>
        <v>8000</v>
      </c>
      <c r="L4" s="4" t="str">
        <f>TEXT(DATE(RIGHT(SuperMarket[[#This Row],[Date]],4),MID(SuperMarket[[#This Row],[Date]],4,2),LEFT(SuperMarket[[#This Row],[Date]],2)),"mmmm")</f>
        <v>January</v>
      </c>
    </row>
    <row r="5" spans="1:12" x14ac:dyDescent="0.3">
      <c r="A5" t="s">
        <v>32</v>
      </c>
      <c r="B5" s="3" t="s">
        <v>33</v>
      </c>
      <c r="C5" t="s">
        <v>34</v>
      </c>
      <c r="D5" t="s">
        <v>35</v>
      </c>
      <c r="E5" t="s">
        <v>36</v>
      </c>
      <c r="F5" t="s">
        <v>37</v>
      </c>
      <c r="G5" t="s">
        <v>38</v>
      </c>
      <c r="H5" s="1" t="s">
        <v>39</v>
      </c>
      <c r="I5" t="str">
        <f>UPPER(SuperMarket[Ville])</f>
        <v>BAFOUSSAM</v>
      </c>
      <c r="J5" t="str">
        <f>UPPER(SuperMarket[Marque])</f>
        <v>NIVEA</v>
      </c>
      <c r="K5" s="5">
        <f>(SuperMarket[[#This Row],[Qté]]*SuperMarket[[#This Row],[Prix_Unit]])</f>
        <v>7000</v>
      </c>
      <c r="L5" s="4" t="str">
        <f>TEXT(DATE(RIGHT(SuperMarket[[#This Row],[Date]],4),MID(SuperMarket[[#This Row],[Date]],4,2),LEFT(SuperMarket[[#This Row],[Date]],2)),"mmmm")</f>
        <v>January</v>
      </c>
    </row>
    <row r="6" spans="1:12" x14ac:dyDescent="0.3">
      <c r="A6" t="s">
        <v>40</v>
      </c>
      <c r="B6" s="3" t="s">
        <v>41</v>
      </c>
      <c r="C6" t="s">
        <v>26</v>
      </c>
      <c r="D6" t="s">
        <v>42</v>
      </c>
      <c r="E6" t="s">
        <v>43</v>
      </c>
      <c r="F6" t="s">
        <v>13</v>
      </c>
      <c r="G6" t="s">
        <v>44</v>
      </c>
      <c r="H6" s="1" t="s">
        <v>45</v>
      </c>
      <c r="I6" t="str">
        <f>UPPER(SuperMarket[Ville])</f>
        <v>DOUALA</v>
      </c>
      <c r="J6" t="str">
        <f>UPPER(SuperMarket[Marque])</f>
        <v>TOP</v>
      </c>
      <c r="K6" s="5">
        <f>(SuperMarket[[#This Row],[Qté]]*SuperMarket[[#This Row],[Prix_Unit]])</f>
        <v>9000</v>
      </c>
      <c r="L6" s="4" t="str">
        <f>TEXT(DATE(RIGHT(SuperMarket[[#This Row],[Date]],4),MID(SuperMarket[[#This Row],[Date]],4,2),LEFT(SuperMarket[[#This Row],[Date]],2)),"mmmm")</f>
        <v>February</v>
      </c>
    </row>
    <row r="7" spans="1:12" x14ac:dyDescent="0.3">
      <c r="A7" t="s">
        <v>46</v>
      </c>
      <c r="B7" s="3" t="s">
        <v>47</v>
      </c>
      <c r="C7" t="s">
        <v>10</v>
      </c>
      <c r="D7" t="s">
        <v>48</v>
      </c>
      <c r="E7" t="s">
        <v>49</v>
      </c>
      <c r="F7" t="s">
        <v>21</v>
      </c>
      <c r="G7" t="s">
        <v>50</v>
      </c>
      <c r="H7" s="1" t="s">
        <v>51</v>
      </c>
      <c r="I7" t="str">
        <f>UPPER(SuperMarket[Ville])</f>
        <v>YAOUNDÉ</v>
      </c>
      <c r="J7" t="str">
        <f>UPPER(SuperMarket[Marque])</f>
        <v>JADIDA</v>
      </c>
      <c r="K7" s="5">
        <f>(SuperMarket[[#This Row],[Qté]]*SuperMarket[[#This Row],[Prix_Unit]])</f>
        <v>8800</v>
      </c>
      <c r="L7" s="4" t="str">
        <f>TEXT(DATE(RIGHT(SuperMarket[[#This Row],[Date]],4),MID(SuperMarket[[#This Row],[Date]],4,2),LEFT(SuperMarket[[#This Row],[Date]],2)),"mmmm")</f>
        <v>February</v>
      </c>
    </row>
    <row r="8" spans="1:12" x14ac:dyDescent="0.3">
      <c r="A8" t="s">
        <v>52</v>
      </c>
      <c r="B8" s="3" t="s">
        <v>53</v>
      </c>
      <c r="C8" t="s">
        <v>18</v>
      </c>
      <c r="D8" t="s">
        <v>54</v>
      </c>
      <c r="E8" t="s">
        <v>55</v>
      </c>
      <c r="F8" t="s">
        <v>56</v>
      </c>
      <c r="G8" t="s">
        <v>57</v>
      </c>
      <c r="H8" s="1" t="s">
        <v>58</v>
      </c>
      <c r="I8" t="str">
        <f>UPPER(SuperMarket[Ville])</f>
        <v>KRIBI</v>
      </c>
      <c r="J8" t="str">
        <f>UPPER(SuperMarket[Marque])</f>
        <v>LACROIX</v>
      </c>
      <c r="K8" s="5">
        <f>(SuperMarket[[#This Row],[Qté]]*SuperMarket[[#This Row],[Prix_Unit]])</f>
        <v>3400</v>
      </c>
      <c r="L8" s="4" t="str">
        <f>TEXT(DATE(RIGHT(SuperMarket[[#This Row],[Date]],4),MID(SuperMarket[[#This Row],[Date]],4,2),LEFT(SuperMarket[[#This Row],[Date]],2)),"mmmm")</f>
        <v>February</v>
      </c>
    </row>
    <row r="9" spans="1:12" x14ac:dyDescent="0.3">
      <c r="A9" t="s">
        <v>59</v>
      </c>
      <c r="B9" s="3" t="s">
        <v>60</v>
      </c>
      <c r="C9" t="s">
        <v>26</v>
      </c>
      <c r="D9" t="s">
        <v>61</v>
      </c>
      <c r="E9" t="s">
        <v>62</v>
      </c>
      <c r="F9" t="s">
        <v>13</v>
      </c>
      <c r="G9" t="s">
        <v>63</v>
      </c>
      <c r="H9" s="1" t="s">
        <v>64</v>
      </c>
      <c r="I9" t="str">
        <f>UPPER(SuperMarket[Ville])</f>
        <v>DOUALA</v>
      </c>
      <c r="J9" t="str">
        <f>UPPER(SuperMarket[Marque])</f>
        <v>CASTEL</v>
      </c>
      <c r="K9" s="5">
        <f>(SuperMarket[[#This Row],[Qté]]*SuperMarket[[#This Row],[Prix_Unit]])</f>
        <v>15600</v>
      </c>
      <c r="L9" s="4" t="str">
        <f>TEXT(DATE(RIGHT(SuperMarket[[#This Row],[Date]],4),MID(SuperMarket[[#This Row],[Date]],4,2),LEFT(SuperMarket[[#This Row],[Date]],2)),"mmmm")</f>
        <v>March</v>
      </c>
    </row>
    <row r="10" spans="1:12" x14ac:dyDescent="0.3">
      <c r="A10" t="s">
        <v>65</v>
      </c>
      <c r="B10" s="3" t="s">
        <v>66</v>
      </c>
      <c r="C10" t="s">
        <v>34</v>
      </c>
      <c r="D10" t="s">
        <v>67</v>
      </c>
      <c r="E10" t="s">
        <v>68</v>
      </c>
      <c r="F10" t="s">
        <v>29</v>
      </c>
      <c r="G10" t="s">
        <v>69</v>
      </c>
      <c r="H10" s="1" t="s">
        <v>70</v>
      </c>
      <c r="I10" t="str">
        <f>UPPER(SuperMarket[Ville])</f>
        <v>GAROUA</v>
      </c>
      <c r="J10" t="str">
        <f>UPPER(SuperMarket[Marque])</f>
        <v>CAMAY</v>
      </c>
      <c r="K10" s="5">
        <f>(SuperMarket[[#This Row],[Qté]]*SuperMarket[[#This Row],[Prix_Unit]])</f>
        <v>6000</v>
      </c>
      <c r="L10" s="4" t="str">
        <f>TEXT(DATE(RIGHT(SuperMarket[[#This Row],[Date]],4),MID(SuperMarket[[#This Row],[Date]],4,2),LEFT(SuperMarket[[#This Row],[Date]],2)),"mmmm")</f>
        <v>March</v>
      </c>
    </row>
    <row r="11" spans="1:12" x14ac:dyDescent="0.3">
      <c r="A11" t="s">
        <v>71</v>
      </c>
      <c r="B11" s="3" t="s">
        <v>72</v>
      </c>
      <c r="C11" t="s">
        <v>10</v>
      </c>
      <c r="D11" t="s">
        <v>73</v>
      </c>
      <c r="E11" t="s">
        <v>74</v>
      </c>
      <c r="F11" t="s">
        <v>21</v>
      </c>
      <c r="G11" t="s">
        <v>30</v>
      </c>
      <c r="H11" s="1" t="s">
        <v>45</v>
      </c>
      <c r="I11" t="str">
        <f>UPPER(SuperMarket[Ville])</f>
        <v>YAOUNDÉ</v>
      </c>
      <c r="J11" t="str">
        <f>UPPER(SuperMarket[Marque])</f>
        <v>PANZANI</v>
      </c>
      <c r="K11" s="5">
        <f>(SuperMarket[[#This Row],[Qté]]*SuperMarket[[#This Row],[Prix_Unit]])</f>
        <v>12000</v>
      </c>
      <c r="L11" s="4" t="str">
        <f>TEXT(DATE(RIGHT(SuperMarket[[#This Row],[Date]],4),MID(SuperMarket[[#This Row],[Date]],4,2),LEFT(SuperMarket[[#This Row],[Date]],2)),"mmmm")</f>
        <v>March</v>
      </c>
    </row>
    <row r="12" spans="1:12" x14ac:dyDescent="0.3">
      <c r="A12" t="s">
        <v>75</v>
      </c>
      <c r="B12" s="3" t="s">
        <v>76</v>
      </c>
      <c r="C12" t="s">
        <v>26</v>
      </c>
      <c r="D12" t="s">
        <v>77</v>
      </c>
      <c r="E12" t="s">
        <v>78</v>
      </c>
      <c r="F12" t="s">
        <v>56</v>
      </c>
      <c r="G12" t="s">
        <v>79</v>
      </c>
      <c r="H12" s="1" t="s">
        <v>15</v>
      </c>
      <c r="I12" t="str">
        <f>UPPER(SuperMarket[Ville])</f>
        <v>KRIBI</v>
      </c>
      <c r="J12" t="str">
        <f>UPPER(SuperMarket[Marque])</f>
        <v>BVC</v>
      </c>
      <c r="K12" s="5">
        <f>(SuperMarket[[#This Row],[Qté]]*SuperMarket[[#This Row],[Prix_Unit]])</f>
        <v>13500</v>
      </c>
      <c r="L12" s="4" t="str">
        <f>TEXT(DATE(RIGHT(SuperMarket[[#This Row],[Date]],4),MID(SuperMarket[[#This Row],[Date]],4,2),LEFT(SuperMarket[[#This Row],[Date]],2)),"mmmm")</f>
        <v>April</v>
      </c>
    </row>
    <row r="13" spans="1:12" x14ac:dyDescent="0.3">
      <c r="A13" t="s">
        <v>80</v>
      </c>
      <c r="B13" s="3" t="s">
        <v>81</v>
      </c>
      <c r="C13" t="s">
        <v>18</v>
      </c>
      <c r="D13" t="s">
        <v>82</v>
      </c>
      <c r="E13" t="s">
        <v>83</v>
      </c>
      <c r="F13" t="s">
        <v>37</v>
      </c>
      <c r="G13" t="s">
        <v>84</v>
      </c>
      <c r="H13" s="1" t="s">
        <v>51</v>
      </c>
      <c r="I13" t="str">
        <f>UPPER(SuperMarket[Ville])</f>
        <v>BAFOUSSAM</v>
      </c>
      <c r="J13" t="str">
        <f>UPPER(SuperMarket[Marque])</f>
        <v>PAIC</v>
      </c>
      <c r="K13" s="5">
        <f>(SuperMarket[[#This Row],[Qté]]*SuperMarket[[#This Row],[Prix_Unit]])</f>
        <v>6600</v>
      </c>
      <c r="L13" s="4" t="str">
        <f>TEXT(DATE(RIGHT(SuperMarket[[#This Row],[Date]],4),MID(SuperMarket[[#This Row],[Date]],4,2),LEFT(SuperMarket[[#This Row],[Date]],2)),"mmmm")</f>
        <v>April</v>
      </c>
    </row>
    <row r="14" spans="1:12" x14ac:dyDescent="0.3">
      <c r="A14" t="s">
        <v>85</v>
      </c>
      <c r="B14" s="3" t="s">
        <v>86</v>
      </c>
      <c r="C14" t="s">
        <v>10</v>
      </c>
      <c r="D14" t="s">
        <v>87</v>
      </c>
      <c r="E14" t="s">
        <v>88</v>
      </c>
      <c r="F14" t="s">
        <v>13</v>
      </c>
      <c r="G14" t="s">
        <v>44</v>
      </c>
      <c r="H14" s="1" t="s">
        <v>58</v>
      </c>
      <c r="I14" t="str">
        <f>UPPER(SuperMarket[Ville])</f>
        <v>DOUALA</v>
      </c>
      <c r="J14" t="str">
        <f>UPPER(SuperMarket[Marque])</f>
        <v>SOSUCAM</v>
      </c>
      <c r="K14" s="5">
        <f>(SuperMarket[[#This Row],[Qté]]*SuperMarket[[#This Row],[Prix_Unit]])</f>
        <v>12750</v>
      </c>
      <c r="L14" s="4" t="str">
        <f>TEXT(DATE(RIGHT(SuperMarket[[#This Row],[Date]],4),MID(SuperMarket[[#This Row],[Date]],4,2),LEFT(SuperMarket[[#This Row],[Date]],2)),"mmmm")</f>
        <v>April</v>
      </c>
    </row>
    <row r="15" spans="1:12" x14ac:dyDescent="0.3">
      <c r="A15" t="s">
        <v>89</v>
      </c>
      <c r="B15" s="3" t="s">
        <v>90</v>
      </c>
      <c r="C15" t="s">
        <v>26</v>
      </c>
      <c r="D15" t="s">
        <v>91</v>
      </c>
      <c r="E15" t="s">
        <v>92</v>
      </c>
      <c r="F15" t="s">
        <v>29</v>
      </c>
      <c r="G15" t="s">
        <v>93</v>
      </c>
      <c r="H15" s="1" t="s">
        <v>94</v>
      </c>
      <c r="I15" t="str">
        <f>UPPER(SuperMarket[Ville])</f>
        <v>GAROUA</v>
      </c>
      <c r="J15" t="str">
        <f>UPPER(SuperMarket[Marque])</f>
        <v>SEME</v>
      </c>
      <c r="K15" s="5">
        <f>(SuperMarket[[#This Row],[Qté]]*SuperMarket[[#This Row],[Prix_Unit]])</f>
        <v>14000</v>
      </c>
      <c r="L15" s="4" t="str">
        <f>TEXT(DATE(RIGHT(SuperMarket[[#This Row],[Date]],4),MID(SuperMarket[[#This Row],[Date]],4,2),LEFT(SuperMarket[[#This Row],[Date]],2)),"mmmm")</f>
        <v>May</v>
      </c>
    </row>
    <row r="16" spans="1:12" x14ac:dyDescent="0.3">
      <c r="A16" t="s">
        <v>95</v>
      </c>
      <c r="B16" s="3" t="s">
        <v>96</v>
      </c>
      <c r="C16" t="s">
        <v>34</v>
      </c>
      <c r="D16" t="s">
        <v>97</v>
      </c>
      <c r="E16" t="s">
        <v>98</v>
      </c>
      <c r="F16" t="s">
        <v>21</v>
      </c>
      <c r="G16" t="s">
        <v>57</v>
      </c>
      <c r="H16" s="1" t="s">
        <v>99</v>
      </c>
      <c r="I16" t="str">
        <f>UPPER(SuperMarket[Ville])</f>
        <v>YAOUNDÉ</v>
      </c>
      <c r="J16" t="str">
        <f>UPPER(SuperMarket[Marque])</f>
        <v>DOVE</v>
      </c>
      <c r="K16" s="5">
        <f>(SuperMarket[[#This Row],[Qté]]*SuperMarket[[#This Row],[Prix_Unit]])</f>
        <v>10000</v>
      </c>
      <c r="L16" s="4" t="str">
        <f>TEXT(DATE(RIGHT(SuperMarket[[#This Row],[Date]],4),MID(SuperMarket[[#This Row],[Date]],4,2),LEFT(SuperMarket[[#This Row],[Date]],2)),"mmmm")</f>
        <v>May</v>
      </c>
    </row>
    <row r="17" spans="1:12" x14ac:dyDescent="0.3">
      <c r="A17" t="s">
        <v>100</v>
      </c>
      <c r="B17" s="3" t="s">
        <v>101</v>
      </c>
      <c r="C17" t="s">
        <v>18</v>
      </c>
      <c r="D17" t="s">
        <v>102</v>
      </c>
      <c r="E17" t="s">
        <v>103</v>
      </c>
      <c r="F17" t="s">
        <v>13</v>
      </c>
      <c r="G17" t="s">
        <v>14</v>
      </c>
      <c r="H17" s="1" t="s">
        <v>104</v>
      </c>
      <c r="I17" t="str">
        <f>UPPER(SuperMarket[Ville])</f>
        <v>DOUALA</v>
      </c>
      <c r="J17" t="str">
        <f>UPPER(SuperMarket[Marque])</f>
        <v>AIRWICK</v>
      </c>
      <c r="K17" s="5">
        <f>(SuperMarket[[#This Row],[Qté]]*SuperMarket[[#This Row],[Prix_Unit]])</f>
        <v>18000</v>
      </c>
      <c r="L17" s="4" t="str">
        <f>TEXT(DATE(RIGHT(SuperMarket[[#This Row],[Date]],4),MID(SuperMarket[[#This Row],[Date]],4,2),LEFT(SuperMarket[[#This Row],[Date]],2)),"mmmm")</f>
        <v>May</v>
      </c>
    </row>
    <row r="18" spans="1:12" x14ac:dyDescent="0.3">
      <c r="A18" t="s">
        <v>105</v>
      </c>
      <c r="B18" s="3" t="s">
        <v>106</v>
      </c>
      <c r="C18" t="s">
        <v>10</v>
      </c>
      <c r="D18" t="s">
        <v>107</v>
      </c>
      <c r="E18" t="s">
        <v>108</v>
      </c>
      <c r="F18" t="s">
        <v>56</v>
      </c>
      <c r="G18" t="s">
        <v>109</v>
      </c>
      <c r="H18" s="1" t="s">
        <v>45</v>
      </c>
      <c r="I18" t="str">
        <f>UPPER(SuperMarket[Ville])</f>
        <v>KRIBI</v>
      </c>
      <c r="J18" t="str">
        <f>UPPER(SuperMarket[Marque])</f>
        <v>CONNETABLE</v>
      </c>
      <c r="K18" s="5">
        <f>(SuperMarket[[#This Row],[Qté]]*SuperMarket[[#This Row],[Prix_Unit]])</f>
        <v>18000</v>
      </c>
      <c r="L18" s="4" t="str">
        <f>TEXT(DATE(RIGHT(SuperMarket[[#This Row],[Date]],4),MID(SuperMarket[[#This Row],[Date]],4,2),LEFT(SuperMarket[[#This Row],[Date]],2)),"mmmm")</f>
        <v>June</v>
      </c>
    </row>
    <row r="19" spans="1:12" x14ac:dyDescent="0.3">
      <c r="A19" t="s">
        <v>110</v>
      </c>
      <c r="B19" s="3" t="s">
        <v>111</v>
      </c>
      <c r="C19" t="s">
        <v>26</v>
      </c>
      <c r="D19" t="s">
        <v>112</v>
      </c>
      <c r="E19" t="s">
        <v>113</v>
      </c>
      <c r="F19" t="s">
        <v>37</v>
      </c>
      <c r="G19" t="s">
        <v>69</v>
      </c>
      <c r="H19" s="1" t="s">
        <v>45</v>
      </c>
      <c r="I19" t="str">
        <f>UPPER(SuperMarket[Ville])</f>
        <v>BAFOUSSAM</v>
      </c>
      <c r="J19" t="str">
        <f>UPPER(SuperMarket[Marque])</f>
        <v>DJINO</v>
      </c>
      <c r="K19" s="5">
        <f>(SuperMarket[[#This Row],[Qté]]*SuperMarket[[#This Row],[Prix_Unit]])</f>
        <v>7200</v>
      </c>
      <c r="L19" s="4" t="str">
        <f>TEXT(DATE(RIGHT(SuperMarket[[#This Row],[Date]],4),MID(SuperMarket[[#This Row],[Date]],4,2),LEFT(SuperMarket[[#This Row],[Date]],2)),"mmmm")</f>
        <v>June</v>
      </c>
    </row>
    <row r="20" spans="1:12" x14ac:dyDescent="0.3">
      <c r="A20" t="s">
        <v>114</v>
      </c>
      <c r="B20" s="3" t="s">
        <v>115</v>
      </c>
      <c r="C20" t="s">
        <v>10</v>
      </c>
      <c r="D20" t="s">
        <v>116</v>
      </c>
      <c r="E20" t="s">
        <v>117</v>
      </c>
      <c r="F20" t="s">
        <v>13</v>
      </c>
      <c r="G20" t="s">
        <v>118</v>
      </c>
      <c r="H20" s="1" t="s">
        <v>119</v>
      </c>
      <c r="I20" t="str">
        <f>UPPER(SuperMarket[Ville])</f>
        <v>DOUALA</v>
      </c>
      <c r="J20" t="str">
        <f>UPPER(SuperMarket[Marque])</f>
        <v>SGMC</v>
      </c>
      <c r="K20" s="5">
        <f>(SuperMarket[[#This Row],[Qté]]*SuperMarket[[#This Row],[Prix_Unit]])</f>
        <v>18750</v>
      </c>
      <c r="L20" s="4" t="str">
        <f>TEXT(DATE(RIGHT(SuperMarket[[#This Row],[Date]],4),MID(SuperMarket[[#This Row],[Date]],4,2),LEFT(SuperMarket[[#This Row],[Date]],2)),"mmmm")</f>
        <v>July</v>
      </c>
    </row>
    <row r="21" spans="1:12" x14ac:dyDescent="0.3">
      <c r="A21" t="s">
        <v>120</v>
      </c>
      <c r="B21" s="3" t="s">
        <v>121</v>
      </c>
      <c r="C21" t="s">
        <v>18</v>
      </c>
      <c r="D21" t="s">
        <v>122</v>
      </c>
      <c r="E21" t="s">
        <v>123</v>
      </c>
      <c r="F21" t="s">
        <v>21</v>
      </c>
      <c r="G21" t="s">
        <v>79</v>
      </c>
      <c r="H21" s="1" t="s">
        <v>15</v>
      </c>
      <c r="I21" t="str">
        <f>UPPER(SuperMarket[Ville])</f>
        <v>YAOUNDÉ</v>
      </c>
      <c r="J21" t="str">
        <f>UPPER(SuperMarket[Marque])</f>
        <v>ARIEL</v>
      </c>
      <c r="K21" s="5">
        <f>(SuperMarket[[#This Row],[Qté]]*SuperMarket[[#This Row],[Prix_Unit]])</f>
        <v>13500</v>
      </c>
      <c r="L21" s="4" t="str">
        <f>TEXT(DATE(RIGHT(SuperMarket[[#This Row],[Date]],4),MID(SuperMarket[[#This Row],[Date]],4,2),LEFT(SuperMarket[[#This Row],[Date]],2)),"mmmm")</f>
        <v>July</v>
      </c>
    </row>
    <row r="22" spans="1:12" x14ac:dyDescent="0.3">
      <c r="A22" t="s">
        <v>124</v>
      </c>
      <c r="B22" s="3" t="s">
        <v>125</v>
      </c>
      <c r="C22" t="s">
        <v>34</v>
      </c>
      <c r="D22" t="s">
        <v>126</v>
      </c>
      <c r="E22" t="s">
        <v>127</v>
      </c>
      <c r="F22" t="s">
        <v>29</v>
      </c>
      <c r="G22" t="s">
        <v>14</v>
      </c>
      <c r="H22" s="1" t="s">
        <v>128</v>
      </c>
      <c r="I22" t="str">
        <f>UPPER(SuperMarket[Ville])</f>
        <v>GAROUA</v>
      </c>
      <c r="J22" t="str">
        <f>UPPER(SuperMarket[Marque])</f>
        <v>COLGATE</v>
      </c>
      <c r="K22" s="5">
        <f>(SuperMarket[[#This Row],[Qté]]*SuperMarket[[#This Row],[Prix_Unit]])</f>
        <v>8000</v>
      </c>
      <c r="L22" s="4" t="str">
        <f>TEXT(DATE(RIGHT(SuperMarket[[#This Row],[Date]],4),MID(SuperMarket[[#This Row],[Date]],4,2),LEFT(SuperMarket[[#This Row],[Date]],2)),"mmmm")</f>
        <v>July</v>
      </c>
    </row>
    <row r="23" spans="1:12" x14ac:dyDescent="0.3">
      <c r="A23" t="s">
        <v>129</v>
      </c>
      <c r="B23" s="3" t="s">
        <v>130</v>
      </c>
      <c r="C23" t="s">
        <v>26</v>
      </c>
      <c r="D23" t="s">
        <v>131</v>
      </c>
      <c r="E23" t="s">
        <v>132</v>
      </c>
      <c r="F23" t="s">
        <v>13</v>
      </c>
      <c r="G23" t="s">
        <v>30</v>
      </c>
      <c r="H23" s="1" t="s">
        <v>70</v>
      </c>
      <c r="I23" t="str">
        <f>UPPER(SuperMarket[Ville])</f>
        <v>DOUALA</v>
      </c>
      <c r="J23" t="str">
        <f>UPPER(SuperMarket[Marque])</f>
        <v>DOLAIT</v>
      </c>
      <c r="K23" s="5">
        <f>(SuperMarket[[#This Row],[Qté]]*SuperMarket[[#This Row],[Prix_Unit]])</f>
        <v>10000</v>
      </c>
      <c r="L23" s="4" t="str">
        <f>TEXT(DATE(RIGHT(SuperMarket[[#This Row],[Date]],4),MID(SuperMarket[[#This Row],[Date]],4,2),LEFT(SuperMarket[[#This Row],[Date]],2)),"mmmm")</f>
        <v>August</v>
      </c>
    </row>
    <row r="24" spans="1:12" x14ac:dyDescent="0.3">
      <c r="A24" t="s">
        <v>133</v>
      </c>
      <c r="B24" s="3" t="s">
        <v>134</v>
      </c>
      <c r="C24" t="s">
        <v>10</v>
      </c>
      <c r="D24" t="s">
        <v>135</v>
      </c>
      <c r="E24" t="s">
        <v>136</v>
      </c>
      <c r="F24" t="s">
        <v>21</v>
      </c>
      <c r="G24" t="s">
        <v>137</v>
      </c>
      <c r="H24" s="1" t="s">
        <v>138</v>
      </c>
      <c r="I24" t="str">
        <f>UPPER(SuperMarket[Ville])</f>
        <v>YAOUNDÉ</v>
      </c>
      <c r="J24" t="str">
        <f>UPPER(SuperMarket[Marque])</f>
        <v>UCV</v>
      </c>
      <c r="K24" s="5">
        <f>(SuperMarket[[#This Row],[Qté]]*SuperMarket[[#This Row],[Prix_Unit]])</f>
        <v>12500</v>
      </c>
      <c r="L24" s="4" t="str">
        <f>TEXT(DATE(RIGHT(SuperMarket[[#This Row],[Date]],4),MID(SuperMarket[[#This Row],[Date]],4,2),LEFT(SuperMarket[[#This Row],[Date]],2)),"mmmm")</f>
        <v>August</v>
      </c>
    </row>
    <row r="25" spans="1:12" x14ac:dyDescent="0.3">
      <c r="A25" t="s">
        <v>139</v>
      </c>
      <c r="B25" s="3" t="s">
        <v>140</v>
      </c>
      <c r="C25" t="s">
        <v>18</v>
      </c>
      <c r="D25" t="s">
        <v>141</v>
      </c>
      <c r="E25" t="s">
        <v>142</v>
      </c>
      <c r="F25" t="s">
        <v>56</v>
      </c>
      <c r="G25" t="s">
        <v>69</v>
      </c>
      <c r="H25" s="1" t="s">
        <v>143</v>
      </c>
      <c r="I25" t="str">
        <f>UPPER(SuperMarket[Ville])</f>
        <v>KRIBI</v>
      </c>
      <c r="J25" t="str">
        <f>UPPER(SuperMarket[Marque])</f>
        <v>SCOTCH</v>
      </c>
      <c r="K25" s="5">
        <f>(SuperMarket[[#This Row],[Qté]]*SuperMarket[[#This Row],[Prix_Unit]])</f>
        <v>3600</v>
      </c>
      <c r="L25" s="4" t="str">
        <f>TEXT(DATE(RIGHT(SuperMarket[[#This Row],[Date]],4),MID(SuperMarket[[#This Row],[Date]],4,2),LEFT(SuperMarket[[#This Row],[Date]],2)),"mmmm")</f>
        <v>August</v>
      </c>
    </row>
    <row r="26" spans="1:12" x14ac:dyDescent="0.3">
      <c r="A26" t="s">
        <v>144</v>
      </c>
      <c r="B26" s="3" t="s">
        <v>145</v>
      </c>
      <c r="C26" t="s">
        <v>26</v>
      </c>
      <c r="D26" t="s">
        <v>146</v>
      </c>
      <c r="E26" t="s">
        <v>147</v>
      </c>
      <c r="F26" t="s">
        <v>37</v>
      </c>
      <c r="G26" t="s">
        <v>63</v>
      </c>
      <c r="H26" s="1" t="s">
        <v>70</v>
      </c>
      <c r="I26" t="str">
        <f>UPPER(SuperMarket[Ville])</f>
        <v>BAFOUSSAM</v>
      </c>
      <c r="J26" t="str">
        <f>UPPER(SuperMarket[Marque])</f>
        <v>VIMTO</v>
      </c>
      <c r="K26" s="5">
        <f>(SuperMarket[[#This Row],[Qté]]*SuperMarket[[#This Row],[Prix_Unit]])</f>
        <v>12000</v>
      </c>
      <c r="L26" s="4" t="str">
        <f>TEXT(DATE(RIGHT(SuperMarket[[#This Row],[Date]],4),MID(SuperMarket[[#This Row],[Date]],4,2),LEFT(SuperMarket[[#This Row],[Date]],2)),"mmmm")</f>
        <v>September</v>
      </c>
    </row>
    <row r="27" spans="1:12" x14ac:dyDescent="0.3">
      <c r="A27" t="s">
        <v>148</v>
      </c>
      <c r="B27" s="3" t="s">
        <v>149</v>
      </c>
      <c r="C27" t="s">
        <v>34</v>
      </c>
      <c r="D27" t="s">
        <v>150</v>
      </c>
      <c r="E27" t="s">
        <v>151</v>
      </c>
      <c r="F27" t="s">
        <v>13</v>
      </c>
      <c r="G27" t="s">
        <v>22</v>
      </c>
      <c r="H27" s="1" t="s">
        <v>152</v>
      </c>
      <c r="I27" t="str">
        <f>UPPER(SuperMarket[Ville])</f>
        <v>DOUALA</v>
      </c>
      <c r="J27" t="str">
        <f>UPPER(SuperMarket[Marque])</f>
        <v>MIXA</v>
      </c>
      <c r="K27" s="5">
        <f>(SuperMarket[[#This Row],[Qté]]*SuperMarket[[#This Row],[Prix_Unit]])</f>
        <v>11000</v>
      </c>
      <c r="L27" s="4" t="str">
        <f>TEXT(DATE(RIGHT(SuperMarket[[#This Row],[Date]],4),MID(SuperMarket[[#This Row],[Date]],4,2),LEFT(SuperMarket[[#This Row],[Date]],2)),"mmmm")</f>
        <v>September</v>
      </c>
    </row>
    <row r="28" spans="1:12" x14ac:dyDescent="0.3">
      <c r="A28" t="s">
        <v>153</v>
      </c>
      <c r="B28" s="3" t="s">
        <v>154</v>
      </c>
      <c r="C28" t="s">
        <v>10</v>
      </c>
      <c r="D28" t="s">
        <v>155</v>
      </c>
      <c r="E28" t="s">
        <v>156</v>
      </c>
      <c r="F28" t="s">
        <v>21</v>
      </c>
      <c r="G28" t="s">
        <v>57</v>
      </c>
      <c r="H28" s="1" t="s">
        <v>104</v>
      </c>
      <c r="I28" t="str">
        <f>UPPER(SuperMarket[Ville])</f>
        <v>YAOUNDÉ</v>
      </c>
      <c r="J28" t="str">
        <f>UPPER(SuperMarket[Marque])</f>
        <v>BAMA</v>
      </c>
      <c r="K28" s="5">
        <f>(SuperMarket[[#This Row],[Qté]]*SuperMarket[[#This Row],[Prix_Unit]])</f>
        <v>7200</v>
      </c>
      <c r="L28" s="4" t="str">
        <f>TEXT(DATE(RIGHT(SuperMarket[[#This Row],[Date]],4),MID(SuperMarket[[#This Row],[Date]],4,2),LEFT(SuperMarket[[#This Row],[Date]],2)),"mmmm")</f>
        <v>September</v>
      </c>
    </row>
    <row r="29" spans="1:12" x14ac:dyDescent="0.3">
      <c r="A29" t="s">
        <v>157</v>
      </c>
      <c r="B29" s="3" t="s">
        <v>158</v>
      </c>
      <c r="C29" t="s">
        <v>26</v>
      </c>
      <c r="D29" t="s">
        <v>159</v>
      </c>
      <c r="E29" t="s">
        <v>160</v>
      </c>
      <c r="F29" t="s">
        <v>13</v>
      </c>
      <c r="G29" t="s">
        <v>38</v>
      </c>
      <c r="H29" s="1" t="s">
        <v>161</v>
      </c>
      <c r="I29" t="str">
        <f>UPPER(SuperMarket[Ville])</f>
        <v>DOUALA</v>
      </c>
      <c r="J29" t="str">
        <f>UPPER(SuperMarket[Marque])</f>
        <v>BLACK LABEL</v>
      </c>
      <c r="K29" s="5">
        <f>(SuperMarket[[#This Row],[Qté]]*SuperMarket[[#This Row],[Prix_Unit]])</f>
        <v>50000</v>
      </c>
      <c r="L29" s="4" t="str">
        <f>TEXT(DATE(RIGHT(SuperMarket[[#This Row],[Date]],4),MID(SuperMarket[[#This Row],[Date]],4,2),LEFT(SuperMarket[[#This Row],[Date]],2)),"mmmm")</f>
        <v>October</v>
      </c>
    </row>
    <row r="30" spans="1:12" x14ac:dyDescent="0.3">
      <c r="A30" t="s">
        <v>162</v>
      </c>
      <c r="B30" s="3" t="s">
        <v>163</v>
      </c>
      <c r="C30" t="s">
        <v>18</v>
      </c>
      <c r="D30" t="s">
        <v>164</v>
      </c>
      <c r="E30" t="s">
        <v>165</v>
      </c>
      <c r="F30" t="s">
        <v>29</v>
      </c>
      <c r="G30" t="s">
        <v>50</v>
      </c>
      <c r="H30" s="1" t="s">
        <v>166</v>
      </c>
      <c r="I30" t="str">
        <f>UPPER(SuperMarket[Ville])</f>
        <v>GAROUA</v>
      </c>
      <c r="J30" t="str">
        <f>UPPER(SuperMarket[Marque])</f>
        <v>AJAX</v>
      </c>
      <c r="K30" s="5">
        <f>(SuperMarket[[#This Row],[Qté]]*SuperMarket[[#This Row],[Prix_Unit]])</f>
        <v>11200</v>
      </c>
      <c r="L30" s="4" t="str">
        <f>TEXT(DATE(RIGHT(SuperMarket[[#This Row],[Date]],4),MID(SuperMarket[[#This Row],[Date]],4,2),LEFT(SuperMarket[[#This Row],[Date]],2)),"mmmm")</f>
        <v>October</v>
      </c>
    </row>
    <row r="31" spans="1:12" x14ac:dyDescent="0.3">
      <c r="A31" t="s">
        <v>167</v>
      </c>
      <c r="B31" s="3" t="s">
        <v>168</v>
      </c>
      <c r="C31" t="s">
        <v>10</v>
      </c>
      <c r="D31" t="s">
        <v>169</v>
      </c>
      <c r="E31" t="s">
        <v>170</v>
      </c>
      <c r="F31" t="s">
        <v>56</v>
      </c>
      <c r="G31" t="s">
        <v>84</v>
      </c>
      <c r="H31" s="1" t="s">
        <v>99</v>
      </c>
      <c r="I31" t="str">
        <f>UPPER(SuperMarket[Ville])</f>
        <v>KRIBI</v>
      </c>
      <c r="J31" t="str">
        <f>UPPER(SuperMarket[Marque])</f>
        <v>TARTINA</v>
      </c>
      <c r="K31" s="5">
        <f>(SuperMarket[[#This Row],[Qté]]*SuperMarket[[#This Row],[Prix_Unit]])</f>
        <v>15000</v>
      </c>
      <c r="L31" s="4" t="str">
        <f>TEXT(DATE(RIGHT(SuperMarket[[#This Row],[Date]],4),MID(SuperMarket[[#This Row],[Date]],4,2),LEFT(SuperMarket[[#This Row],[Date]],2)),"mmmm")</f>
        <v>October</v>
      </c>
    </row>
    <row r="32" spans="1:12" x14ac:dyDescent="0.3">
      <c r="A32" t="s">
        <v>171</v>
      </c>
      <c r="B32" s="3" t="s">
        <v>172</v>
      </c>
      <c r="C32" t="s">
        <v>34</v>
      </c>
      <c r="D32" t="s">
        <v>173</v>
      </c>
      <c r="E32" t="s">
        <v>174</v>
      </c>
      <c r="F32" t="s">
        <v>37</v>
      </c>
      <c r="G32" t="s">
        <v>14</v>
      </c>
      <c r="H32" s="1" t="s">
        <v>175</v>
      </c>
      <c r="I32" t="str">
        <f>UPPER(SuperMarket[Ville])</f>
        <v>BAFOUSSAM</v>
      </c>
      <c r="J32" t="str">
        <f>UPPER(SuperMarket[Marque])</f>
        <v>AXE</v>
      </c>
      <c r="K32" s="5">
        <f>(SuperMarket[[#This Row],[Qté]]*SuperMarket[[#This Row],[Prix_Unit]])</f>
        <v>28000</v>
      </c>
      <c r="L32" s="4" t="str">
        <f>TEXT(DATE(RIGHT(SuperMarket[[#This Row],[Date]],4),MID(SuperMarket[[#This Row],[Date]],4,2),LEFT(SuperMarket[[#This Row],[Date]],2)),"mmmm")</f>
        <v>November</v>
      </c>
    </row>
    <row r="33" spans="1:12" x14ac:dyDescent="0.3">
      <c r="A33" t="s">
        <v>176</v>
      </c>
      <c r="B33" s="3" t="s">
        <v>177</v>
      </c>
      <c r="C33" t="s">
        <v>26</v>
      </c>
      <c r="D33" t="s">
        <v>178</v>
      </c>
      <c r="E33" t="s">
        <v>179</v>
      </c>
      <c r="F33" t="s">
        <v>21</v>
      </c>
      <c r="G33" t="s">
        <v>44</v>
      </c>
      <c r="H33" s="1" t="s">
        <v>180</v>
      </c>
      <c r="I33" t="str">
        <f>UPPER(SuperMarket[Ville])</f>
        <v>YAOUNDÉ</v>
      </c>
      <c r="J33" t="str">
        <f>UPPER(SuperMarket[Marque])</f>
        <v>KADJI</v>
      </c>
      <c r="K33" s="5">
        <f>(SuperMarket[[#This Row],[Qté]]*SuperMarket[[#This Row],[Prix_Unit]])</f>
        <v>10500</v>
      </c>
      <c r="L33" s="4" t="str">
        <f>TEXT(DATE(RIGHT(SuperMarket[[#This Row],[Date]],4),MID(SuperMarket[[#This Row],[Date]],4,2),LEFT(SuperMarket[[#This Row],[Date]],2)),"mmmm")</f>
        <v>November</v>
      </c>
    </row>
    <row r="34" spans="1:12" x14ac:dyDescent="0.3">
      <c r="A34" t="s">
        <v>181</v>
      </c>
      <c r="B34" s="3" t="s">
        <v>182</v>
      </c>
      <c r="C34" t="s">
        <v>10</v>
      </c>
      <c r="D34" t="s">
        <v>183</v>
      </c>
      <c r="E34" t="s">
        <v>184</v>
      </c>
      <c r="F34" t="s">
        <v>13</v>
      </c>
      <c r="G34" t="s">
        <v>69</v>
      </c>
      <c r="H34" s="1" t="s">
        <v>185</v>
      </c>
      <c r="I34" t="str">
        <f>UPPER(SuperMarket[Ville])</f>
        <v>DOUALA</v>
      </c>
      <c r="J34" t="str">
        <f>UPPER(SuperMarket[Marque])</f>
        <v>REGINA</v>
      </c>
      <c r="K34" s="5">
        <f>(SuperMarket[[#This Row],[Qté]]*SuperMarket[[#This Row],[Prix_Unit]])</f>
        <v>5400</v>
      </c>
      <c r="L34" s="4" t="str">
        <f>TEXT(DATE(RIGHT(SuperMarket[[#This Row],[Date]],4),MID(SuperMarket[[#This Row],[Date]],4,2),LEFT(SuperMarket[[#This Row],[Date]],2)),"mmmm")</f>
        <v>November</v>
      </c>
    </row>
    <row r="35" spans="1:12" x14ac:dyDescent="0.3">
      <c r="A35" t="s">
        <v>186</v>
      </c>
      <c r="B35" s="3" t="s">
        <v>187</v>
      </c>
      <c r="C35" t="s">
        <v>18</v>
      </c>
      <c r="D35" t="s">
        <v>188</v>
      </c>
      <c r="E35" t="s">
        <v>189</v>
      </c>
      <c r="F35" t="s">
        <v>29</v>
      </c>
      <c r="G35" t="s">
        <v>30</v>
      </c>
      <c r="H35" s="1" t="s">
        <v>23</v>
      </c>
      <c r="I35" t="str">
        <f>UPPER(SuperMarket[Ville])</f>
        <v>GAROUA</v>
      </c>
      <c r="J35" t="str">
        <f>UPPER(SuperMarket[Marque])</f>
        <v>PROPRE</v>
      </c>
      <c r="K35" s="5">
        <f>(SuperMarket[[#This Row],[Qté]]*SuperMarket[[#This Row],[Prix_Unit]])</f>
        <v>24000</v>
      </c>
      <c r="L35" s="4" t="str">
        <f>TEXT(DATE(RIGHT(SuperMarket[[#This Row],[Date]],4),MID(SuperMarket[[#This Row],[Date]],4,2),LEFT(SuperMarket[[#This Row],[Date]],2)),"mmmm")</f>
        <v>December</v>
      </c>
    </row>
    <row r="36" spans="1:12" x14ac:dyDescent="0.3">
      <c r="A36" t="s">
        <v>190</v>
      </c>
      <c r="B36" s="3" t="s">
        <v>191</v>
      </c>
      <c r="C36" t="s">
        <v>26</v>
      </c>
      <c r="D36" t="s">
        <v>192</v>
      </c>
      <c r="E36" t="s">
        <v>193</v>
      </c>
      <c r="F36" t="s">
        <v>13</v>
      </c>
      <c r="G36" t="s">
        <v>194</v>
      </c>
      <c r="H36" s="1" t="s">
        <v>195</v>
      </c>
      <c r="I36" t="str">
        <f>UPPER(SuperMarket[Ville])</f>
        <v>DOUALA</v>
      </c>
      <c r="J36" t="str">
        <f>UPPER(SuperMarket[Marque])</f>
        <v>MOET</v>
      </c>
      <c r="K36" s="5">
        <f>(SuperMarket[[#This Row],[Qté]]*SuperMarket[[#This Row],[Prix_Unit]])</f>
        <v>45000</v>
      </c>
      <c r="L36" s="4" t="str">
        <f>TEXT(DATE(RIGHT(SuperMarket[[#This Row],[Date]],4),MID(SuperMarket[[#This Row],[Date]],4,2),LEFT(SuperMarket[[#This Row],[Date]],2)),"mmmm")</f>
        <v>December</v>
      </c>
    </row>
    <row r="37" spans="1:12" x14ac:dyDescent="0.3">
      <c r="A37" t="s">
        <v>196</v>
      </c>
      <c r="B37" s="3" t="s">
        <v>197</v>
      </c>
      <c r="C37" t="s">
        <v>10</v>
      </c>
      <c r="D37" t="s">
        <v>198</v>
      </c>
      <c r="E37" t="s">
        <v>199</v>
      </c>
      <c r="F37" t="s">
        <v>21</v>
      </c>
      <c r="G37" t="s">
        <v>22</v>
      </c>
      <c r="H37" s="1" t="s">
        <v>39</v>
      </c>
      <c r="I37" t="str">
        <f>UPPER(SuperMarket[Ville])</f>
        <v>YAOUNDÉ</v>
      </c>
      <c r="J37" t="str">
        <f>UPPER(SuperMarket[Marque])</f>
        <v>AGROCAM</v>
      </c>
      <c r="K37" s="5">
        <f>(SuperMarket[[#This Row],[Qté]]*SuperMarket[[#This Row],[Prix_Unit]])</f>
        <v>17500</v>
      </c>
      <c r="L37" s="4" t="str">
        <f>TEXT(DATE(RIGHT(SuperMarket[[#This Row],[Date]],4),MID(SuperMarket[[#This Row],[Date]],4,2),LEFT(SuperMarket[[#This Row],[Date]],2)),"mmmm")</f>
        <v>December</v>
      </c>
    </row>
    <row r="38" spans="1:12" x14ac:dyDescent="0.3">
      <c r="A38" t="s">
        <v>200</v>
      </c>
      <c r="B38" s="3" t="s">
        <v>201</v>
      </c>
      <c r="C38" t="s">
        <v>34</v>
      </c>
      <c r="D38" t="s">
        <v>202</v>
      </c>
      <c r="E38" t="s">
        <v>203</v>
      </c>
      <c r="F38" t="s">
        <v>56</v>
      </c>
      <c r="G38" t="s">
        <v>38</v>
      </c>
      <c r="H38" s="1" t="s">
        <v>204</v>
      </c>
      <c r="I38" t="str">
        <f>UPPER(SuperMarket[Ville])</f>
        <v>KRIBI</v>
      </c>
      <c r="J38" t="str">
        <f>UPPER(SuperMarket[Marque])</f>
        <v>DIOR</v>
      </c>
      <c r="K38" s="5">
        <f>(SuperMarket[[#This Row],[Qté]]*SuperMarket[[#This Row],[Prix_Unit]])</f>
        <v>110000</v>
      </c>
      <c r="L38" s="4" t="str">
        <f>TEXT(DATE(RIGHT(SuperMarket[[#This Row],[Date]],4),MID(SuperMarket[[#This Row],[Date]],4,2),LEFT(SuperMarket[[#This Row],[Date]],2)),"mmmm")</f>
        <v>December</v>
      </c>
    </row>
    <row r="39" spans="1:12" x14ac:dyDescent="0.3">
      <c r="A39" t="s">
        <v>205</v>
      </c>
      <c r="B39" s="3" t="s">
        <v>206</v>
      </c>
      <c r="C39" t="s">
        <v>26</v>
      </c>
      <c r="D39" t="s">
        <v>207</v>
      </c>
      <c r="E39" t="s">
        <v>208</v>
      </c>
      <c r="F39" t="s">
        <v>13</v>
      </c>
      <c r="G39" t="s">
        <v>69</v>
      </c>
      <c r="H39" s="1" t="s">
        <v>128</v>
      </c>
      <c r="I39" t="str">
        <f>UPPER(SuperMarket[Ville])</f>
        <v>DOUALA</v>
      </c>
      <c r="J39" t="str">
        <f>UPPER(SuperMarket[Marque])</f>
        <v>GUINNESS</v>
      </c>
      <c r="K39" s="5">
        <f>(SuperMarket[[#This Row],[Qté]]*SuperMarket[[#This Row],[Prix_Unit]])</f>
        <v>9600</v>
      </c>
      <c r="L39" s="4" t="str">
        <f>TEXT(DATE(RIGHT(SuperMarket[[#This Row],[Date]],4),MID(SuperMarket[[#This Row],[Date]],4,2),LEFT(SuperMarket[[#This Row],[Date]],2)),"mmmm")</f>
        <v>December</v>
      </c>
    </row>
    <row r="40" spans="1:12" x14ac:dyDescent="0.3">
      <c r="A40" t="s">
        <v>209</v>
      </c>
      <c r="B40" s="3" t="s">
        <v>9</v>
      </c>
      <c r="C40" t="s">
        <v>26</v>
      </c>
      <c r="D40" t="s">
        <v>210</v>
      </c>
      <c r="E40" t="s">
        <v>211</v>
      </c>
      <c r="F40" t="s">
        <v>13</v>
      </c>
      <c r="G40" t="s">
        <v>30</v>
      </c>
      <c r="H40" s="1" t="s">
        <v>45</v>
      </c>
      <c r="I40" t="str">
        <f>UPPER(SuperMarket[Ville])</f>
        <v>DOUALA</v>
      </c>
      <c r="J40" t="str">
        <f>UPPER(SuperMarket[Marque])</f>
        <v>SABC</v>
      </c>
      <c r="K40" s="5">
        <f>(SuperMarket[[#This Row],[Qté]]*SuperMarket[[#This Row],[Prix_Unit]])</f>
        <v>12000</v>
      </c>
      <c r="L40" s="4" t="str">
        <f>TEXT(DATE(RIGHT(SuperMarket[[#This Row],[Date]],4),MID(SuperMarket[[#This Row],[Date]],4,2),LEFT(SuperMarket[[#This Row],[Date]],2)),"mmmm")</f>
        <v>January</v>
      </c>
    </row>
    <row r="41" spans="1:12" x14ac:dyDescent="0.3">
      <c r="A41" t="s">
        <v>212</v>
      </c>
      <c r="B41" s="3" t="s">
        <v>213</v>
      </c>
      <c r="C41" t="s">
        <v>10</v>
      </c>
      <c r="D41" t="s">
        <v>214</v>
      </c>
      <c r="E41" t="s">
        <v>215</v>
      </c>
      <c r="F41" t="s">
        <v>21</v>
      </c>
      <c r="G41" t="s">
        <v>22</v>
      </c>
      <c r="H41" s="1" t="s">
        <v>216</v>
      </c>
      <c r="I41" t="str">
        <f>UPPER(SuperMarket[Ville])</f>
        <v>YAOUNDÉ</v>
      </c>
      <c r="J41" t="str">
        <f>UPPER(SuperMarket[Marque])</f>
        <v>AZUR</v>
      </c>
      <c r="K41" s="5">
        <f>(SuperMarket[[#This Row],[Qté]]*SuperMarket[[#This Row],[Prix_Unit]])</f>
        <v>7500</v>
      </c>
      <c r="L41" s="4" t="str">
        <f>TEXT(DATE(RIGHT(SuperMarket[[#This Row],[Date]],4),MID(SuperMarket[[#This Row],[Date]],4,2),LEFT(SuperMarket[[#This Row],[Date]],2)),"mmmm")</f>
        <v>January</v>
      </c>
    </row>
    <row r="42" spans="1:12" x14ac:dyDescent="0.3">
      <c r="A42" t="s">
        <v>217</v>
      </c>
      <c r="B42" s="3" t="s">
        <v>25</v>
      </c>
      <c r="C42" t="s">
        <v>18</v>
      </c>
      <c r="D42" t="s">
        <v>218</v>
      </c>
      <c r="E42" t="s">
        <v>55</v>
      </c>
      <c r="F42" t="s">
        <v>29</v>
      </c>
      <c r="G42" t="s">
        <v>69</v>
      </c>
      <c r="H42" s="1" t="s">
        <v>58</v>
      </c>
      <c r="I42" t="str">
        <f>UPPER(SuperMarket[Ville])</f>
        <v>GAROUA</v>
      </c>
      <c r="J42" t="str">
        <f>UPPER(SuperMarket[Marque])</f>
        <v>LACROIX</v>
      </c>
      <c r="K42" s="5">
        <f>(SuperMarket[[#This Row],[Qté]]*SuperMarket[[#This Row],[Prix_Unit]])</f>
        <v>10200</v>
      </c>
      <c r="L42" s="4" t="str">
        <f>TEXT(DATE(RIGHT(SuperMarket[[#This Row],[Date]],4),MID(SuperMarket[[#This Row],[Date]],4,2),LEFT(SuperMarket[[#This Row],[Date]],2)),"mmmm")</f>
        <v>January</v>
      </c>
    </row>
    <row r="43" spans="1:12" x14ac:dyDescent="0.3">
      <c r="A43" t="s">
        <v>219</v>
      </c>
      <c r="B43" s="3" t="s">
        <v>220</v>
      </c>
      <c r="C43" t="s">
        <v>34</v>
      </c>
      <c r="D43" t="s">
        <v>221</v>
      </c>
      <c r="E43" t="s">
        <v>222</v>
      </c>
      <c r="F43" t="s">
        <v>37</v>
      </c>
      <c r="G43" t="s">
        <v>44</v>
      </c>
      <c r="H43" s="1" t="s">
        <v>70</v>
      </c>
      <c r="I43" t="str">
        <f>UPPER(SuperMarket[Ville])</f>
        <v>BAFOUSSAM</v>
      </c>
      <c r="J43" t="str">
        <f>UPPER(SuperMarket[Marque])</f>
        <v>BIO</v>
      </c>
      <c r="K43" s="5">
        <f>(SuperMarket[[#This Row],[Qté]]*SuperMarket[[#This Row],[Prix_Unit]])</f>
        <v>7500</v>
      </c>
      <c r="L43" s="4" t="str">
        <f>TEXT(DATE(RIGHT(SuperMarket[[#This Row],[Date]],4),MID(SuperMarket[[#This Row],[Date]],4,2),LEFT(SuperMarket[[#This Row],[Date]],2)),"mmmm")</f>
        <v>January</v>
      </c>
    </row>
    <row r="44" spans="1:12" x14ac:dyDescent="0.3">
      <c r="A44" t="s">
        <v>223</v>
      </c>
      <c r="B44" s="3" t="s">
        <v>224</v>
      </c>
      <c r="C44" t="s">
        <v>26</v>
      </c>
      <c r="D44" t="s">
        <v>225</v>
      </c>
      <c r="E44" t="s">
        <v>208</v>
      </c>
      <c r="F44" t="s">
        <v>13</v>
      </c>
      <c r="G44" t="s">
        <v>63</v>
      </c>
      <c r="H44" s="1" t="s">
        <v>64</v>
      </c>
      <c r="I44" t="str">
        <f>UPPER(SuperMarket[Ville])</f>
        <v>DOUALA</v>
      </c>
      <c r="J44" t="str">
        <f>UPPER(SuperMarket[Marque])</f>
        <v>GUINNESS</v>
      </c>
      <c r="K44" s="5">
        <f>(SuperMarket[[#This Row],[Qté]]*SuperMarket[[#This Row],[Prix_Unit]])</f>
        <v>15600</v>
      </c>
      <c r="L44" s="4" t="str">
        <f>TEXT(DATE(RIGHT(SuperMarket[[#This Row],[Date]],4),MID(SuperMarket[[#This Row],[Date]],4,2),LEFT(SuperMarket[[#This Row],[Date]],2)),"mmmm")</f>
        <v>January</v>
      </c>
    </row>
    <row r="45" spans="1:12" x14ac:dyDescent="0.3">
      <c r="A45" t="s">
        <v>226</v>
      </c>
      <c r="B45" s="3" t="s">
        <v>41</v>
      </c>
      <c r="C45" t="s">
        <v>10</v>
      </c>
      <c r="D45" t="s">
        <v>227</v>
      </c>
      <c r="E45" t="s">
        <v>228</v>
      </c>
      <c r="F45" t="s">
        <v>56</v>
      </c>
      <c r="G45" t="s">
        <v>93</v>
      </c>
      <c r="H45" s="1" t="s">
        <v>185</v>
      </c>
      <c r="I45" t="str">
        <f>UPPER(SuperMarket[Ville])</f>
        <v>KRIBI</v>
      </c>
      <c r="J45" t="str">
        <f>UPPER(SuperMarket[Marque])</f>
        <v>MAMAN</v>
      </c>
      <c r="K45" s="5">
        <f>(SuperMarket[[#This Row],[Qté]]*SuperMarket[[#This Row],[Prix_Unit]])</f>
        <v>18000</v>
      </c>
      <c r="L45" s="4" t="str">
        <f>TEXT(DATE(RIGHT(SuperMarket[[#This Row],[Date]],4),MID(SuperMarket[[#This Row],[Date]],4,2),LEFT(SuperMarket[[#This Row],[Date]],2)),"mmmm")</f>
        <v>February</v>
      </c>
    </row>
    <row r="46" spans="1:12" x14ac:dyDescent="0.3">
      <c r="A46" t="s">
        <v>229</v>
      </c>
      <c r="B46" s="3" t="s">
        <v>230</v>
      </c>
      <c r="C46" t="s">
        <v>26</v>
      </c>
      <c r="D46" t="s">
        <v>231</v>
      </c>
      <c r="E46" t="s">
        <v>211</v>
      </c>
      <c r="F46" t="s">
        <v>21</v>
      </c>
      <c r="G46" t="s">
        <v>109</v>
      </c>
      <c r="H46" s="1" t="s">
        <v>70</v>
      </c>
      <c r="I46" t="str">
        <f>UPPER(SuperMarket[Ville])</f>
        <v>YAOUNDÉ</v>
      </c>
      <c r="J46" t="str">
        <f>UPPER(SuperMarket[Marque])</f>
        <v>SABC</v>
      </c>
      <c r="K46" s="5">
        <f>(SuperMarket[[#This Row],[Qté]]*SuperMarket[[#This Row],[Prix_Unit]])</f>
        <v>15000</v>
      </c>
      <c r="L46" s="4" t="str">
        <f>TEXT(DATE(RIGHT(SuperMarket[[#This Row],[Date]],4),MID(SuperMarket[[#This Row],[Date]],4,2),LEFT(SuperMarket[[#This Row],[Date]],2)),"mmmm")</f>
        <v>February</v>
      </c>
    </row>
    <row r="47" spans="1:12" x14ac:dyDescent="0.3">
      <c r="A47" t="s">
        <v>232</v>
      </c>
      <c r="B47" s="3" t="s">
        <v>47</v>
      </c>
      <c r="C47" t="s">
        <v>34</v>
      </c>
      <c r="D47" t="s">
        <v>233</v>
      </c>
      <c r="E47" t="s">
        <v>234</v>
      </c>
      <c r="F47" t="s">
        <v>13</v>
      </c>
      <c r="G47" t="s">
        <v>194</v>
      </c>
      <c r="H47" s="1" t="s">
        <v>235</v>
      </c>
      <c r="I47" t="str">
        <f>UPPER(SuperMarket[Ville])</f>
        <v>DOUALA</v>
      </c>
      <c r="J47" t="str">
        <f>UPPER(SuperMarket[Marque])</f>
        <v>CHANEL</v>
      </c>
      <c r="K47" s="5">
        <f>(SuperMarket[[#This Row],[Qté]]*SuperMarket[[#This Row],[Prix_Unit]])</f>
        <v>75000</v>
      </c>
      <c r="L47" s="4" t="str">
        <f>TEXT(DATE(RIGHT(SuperMarket[[#This Row],[Date]],4),MID(SuperMarket[[#This Row],[Date]],4,2),LEFT(SuperMarket[[#This Row],[Date]],2)),"mmmm")</f>
        <v>February</v>
      </c>
    </row>
    <row r="48" spans="1:12" x14ac:dyDescent="0.3">
      <c r="A48" t="s">
        <v>236</v>
      </c>
      <c r="B48" s="3" t="s">
        <v>237</v>
      </c>
      <c r="C48" t="s">
        <v>18</v>
      </c>
      <c r="D48" t="s">
        <v>238</v>
      </c>
      <c r="E48" t="s">
        <v>239</v>
      </c>
      <c r="F48" t="s">
        <v>29</v>
      </c>
      <c r="G48" t="s">
        <v>14</v>
      </c>
      <c r="H48" s="1" t="s">
        <v>23</v>
      </c>
      <c r="I48" t="str">
        <f>UPPER(SuperMarket[Ville])</f>
        <v>GAROUA</v>
      </c>
      <c r="J48" t="str">
        <f>UPPER(SuperMarket[Marque])</f>
        <v>MADAR</v>
      </c>
      <c r="K48" s="5">
        <f>(SuperMarket[[#This Row],[Qté]]*SuperMarket[[#This Row],[Prix_Unit]])</f>
        <v>12000</v>
      </c>
      <c r="L48" s="4" t="str">
        <f>TEXT(DATE(RIGHT(SuperMarket[[#This Row],[Date]],4),MID(SuperMarket[[#This Row],[Date]],4,2),LEFT(SuperMarket[[#This Row],[Date]],2)),"mmmm")</f>
        <v>February</v>
      </c>
    </row>
    <row r="49" spans="1:12" x14ac:dyDescent="0.3">
      <c r="A49" t="s">
        <v>240</v>
      </c>
      <c r="B49" s="3" t="s">
        <v>241</v>
      </c>
      <c r="C49" t="s">
        <v>10</v>
      </c>
      <c r="D49" t="s">
        <v>242</v>
      </c>
      <c r="E49" t="s">
        <v>243</v>
      </c>
      <c r="F49" t="s">
        <v>37</v>
      </c>
      <c r="G49" t="s">
        <v>244</v>
      </c>
      <c r="H49" s="1" t="s">
        <v>118</v>
      </c>
      <c r="I49" t="str">
        <f>UPPER(SuperMarket[Ville])</f>
        <v>BAFOUSSAM</v>
      </c>
      <c r="J49" t="str">
        <f>UPPER(SuperMarket[Marque])</f>
        <v>MAGGI</v>
      </c>
      <c r="K49" s="5">
        <f>(SuperMarket[[#This Row],[Qté]]*SuperMarket[[#This Row],[Prix_Unit]])</f>
        <v>2500</v>
      </c>
      <c r="L49" s="4" t="str">
        <f>TEXT(DATE(RIGHT(SuperMarket[[#This Row],[Date]],4),MID(SuperMarket[[#This Row],[Date]],4,2),LEFT(SuperMarket[[#This Row],[Date]],2)),"mmmm")</f>
        <v>February</v>
      </c>
    </row>
    <row r="50" spans="1:12" x14ac:dyDescent="0.3">
      <c r="A50" t="s">
        <v>245</v>
      </c>
      <c r="B50" s="3" t="s">
        <v>60</v>
      </c>
      <c r="C50" t="s">
        <v>26</v>
      </c>
      <c r="D50" t="s">
        <v>246</v>
      </c>
      <c r="E50" t="s">
        <v>247</v>
      </c>
      <c r="F50" t="s">
        <v>56</v>
      </c>
      <c r="G50" t="s">
        <v>137</v>
      </c>
      <c r="H50" s="1" t="s">
        <v>138</v>
      </c>
      <c r="I50" t="str">
        <f>UPPER(SuperMarket[Ville])</f>
        <v>KRIBI</v>
      </c>
      <c r="J50" t="str">
        <f>UPPER(SuperMarket[Marque])</f>
        <v>SUPERMONT</v>
      </c>
      <c r="K50" s="5">
        <f>(SuperMarket[[#This Row],[Qté]]*SuperMarket[[#This Row],[Prix_Unit]])</f>
        <v>12500</v>
      </c>
      <c r="L50" s="4" t="str">
        <f>TEXT(DATE(RIGHT(SuperMarket[[#This Row],[Date]],4),MID(SuperMarket[[#This Row],[Date]],4,2),LEFT(SuperMarket[[#This Row],[Date]],2)),"mmmm")</f>
        <v>March</v>
      </c>
    </row>
    <row r="51" spans="1:12" x14ac:dyDescent="0.3">
      <c r="A51" t="s">
        <v>248</v>
      </c>
      <c r="B51" s="3" t="s">
        <v>249</v>
      </c>
      <c r="C51" t="s">
        <v>10</v>
      </c>
      <c r="D51" t="s">
        <v>250</v>
      </c>
      <c r="E51" t="s">
        <v>251</v>
      </c>
      <c r="F51" t="s">
        <v>13</v>
      </c>
      <c r="G51" t="s">
        <v>44</v>
      </c>
      <c r="H51" s="1" t="s">
        <v>252</v>
      </c>
      <c r="I51" t="str">
        <f>UPPER(SuperMarket[Ville])</f>
        <v>DOUALA</v>
      </c>
      <c r="J51" t="str">
        <f>UPPER(SuperMarket[Marque])</f>
        <v>TANTY</v>
      </c>
      <c r="K51" s="5">
        <f>(SuperMarket[[#This Row],[Qté]]*SuperMarket[[#This Row],[Prix_Unit]])</f>
        <v>14250</v>
      </c>
      <c r="L51" s="4" t="str">
        <f>TEXT(DATE(RIGHT(SuperMarket[[#This Row],[Date]],4),MID(SuperMarket[[#This Row],[Date]],4,2),LEFT(SuperMarket[[#This Row],[Date]],2)),"mmmm")</f>
        <v>March</v>
      </c>
    </row>
    <row r="52" spans="1:12" x14ac:dyDescent="0.3">
      <c r="A52" t="s">
        <v>253</v>
      </c>
      <c r="B52" s="3" t="s">
        <v>254</v>
      </c>
      <c r="C52" t="s">
        <v>26</v>
      </c>
      <c r="D52" t="s">
        <v>255</v>
      </c>
      <c r="E52" t="s">
        <v>211</v>
      </c>
      <c r="F52" t="s">
        <v>21</v>
      </c>
      <c r="G52" t="s">
        <v>69</v>
      </c>
      <c r="H52" s="1" t="s">
        <v>180</v>
      </c>
      <c r="I52" t="str">
        <f>UPPER(SuperMarket[Ville])</f>
        <v>YAOUNDÉ</v>
      </c>
      <c r="J52" t="str">
        <f>UPPER(SuperMarket[Marque])</f>
        <v>SABC</v>
      </c>
      <c r="K52" s="5">
        <f>(SuperMarket[[#This Row],[Qté]]*SuperMarket[[#This Row],[Prix_Unit]])</f>
        <v>8400</v>
      </c>
      <c r="L52" s="4" t="str">
        <f>TEXT(DATE(RIGHT(SuperMarket[[#This Row],[Date]],4),MID(SuperMarket[[#This Row],[Date]],4,2),LEFT(SuperMarket[[#This Row],[Date]],2)),"mmmm")</f>
        <v>March</v>
      </c>
    </row>
    <row r="53" spans="1:12" x14ac:dyDescent="0.3">
      <c r="A53" t="s">
        <v>256</v>
      </c>
      <c r="B53" s="3" t="s">
        <v>257</v>
      </c>
      <c r="C53" t="s">
        <v>34</v>
      </c>
      <c r="D53" t="s">
        <v>258</v>
      </c>
      <c r="E53" t="s">
        <v>259</v>
      </c>
      <c r="F53" t="s">
        <v>29</v>
      </c>
      <c r="G53" t="s">
        <v>79</v>
      </c>
      <c r="H53" s="1" t="s">
        <v>260</v>
      </c>
      <c r="I53" t="str">
        <f>UPPER(SuperMarket[Ville])</f>
        <v>GAROUA</v>
      </c>
      <c r="J53" t="str">
        <f>UPPER(SuperMarket[Marque])</f>
        <v>TOPICREM</v>
      </c>
      <c r="K53" s="5">
        <f>(SuperMarket[[#This Row],[Qté]]*SuperMarket[[#This Row],[Prix_Unit]])</f>
        <v>25500</v>
      </c>
      <c r="L53" s="4" t="str">
        <f>TEXT(DATE(RIGHT(SuperMarket[[#This Row],[Date]],4),MID(SuperMarket[[#This Row],[Date]],4,2),LEFT(SuperMarket[[#This Row],[Date]],2)),"mmmm")</f>
        <v>March</v>
      </c>
    </row>
    <row r="54" spans="1:12" x14ac:dyDescent="0.3">
      <c r="A54" t="s">
        <v>261</v>
      </c>
      <c r="B54" s="3" t="s">
        <v>262</v>
      </c>
      <c r="C54" t="s">
        <v>18</v>
      </c>
      <c r="D54" t="s">
        <v>263</v>
      </c>
      <c r="E54" t="s">
        <v>165</v>
      </c>
      <c r="F54" t="s">
        <v>13</v>
      </c>
      <c r="G54" t="s">
        <v>84</v>
      </c>
      <c r="H54" s="1" t="s">
        <v>166</v>
      </c>
      <c r="I54" t="str">
        <f>UPPER(SuperMarket[Ville])</f>
        <v>DOUALA</v>
      </c>
      <c r="J54" t="str">
        <f>UPPER(SuperMarket[Marque])</f>
        <v>AJAX</v>
      </c>
      <c r="K54" s="5">
        <f>(SuperMarket[[#This Row],[Qté]]*SuperMarket[[#This Row],[Prix_Unit]])</f>
        <v>8400</v>
      </c>
      <c r="L54" s="4" t="str">
        <f>TEXT(DATE(RIGHT(SuperMarket[[#This Row],[Date]],4),MID(SuperMarket[[#This Row],[Date]],4,2),LEFT(SuperMarket[[#This Row],[Date]],2)),"mmmm")</f>
        <v>April</v>
      </c>
    </row>
    <row r="55" spans="1:12" x14ac:dyDescent="0.3">
      <c r="A55" t="s">
        <v>264</v>
      </c>
      <c r="B55" s="3" t="s">
        <v>265</v>
      </c>
      <c r="C55" t="s">
        <v>10</v>
      </c>
      <c r="D55" t="s">
        <v>266</v>
      </c>
      <c r="E55" t="s">
        <v>267</v>
      </c>
      <c r="F55" t="s">
        <v>37</v>
      </c>
      <c r="G55" t="s">
        <v>50</v>
      </c>
      <c r="H55" s="1" t="s">
        <v>39</v>
      </c>
      <c r="I55" t="str">
        <f>UPPER(SuperMarket[Ville])</f>
        <v>BAFOUSSAM</v>
      </c>
      <c r="J55" t="str">
        <f>UPPER(SuperMarket[Marque])</f>
        <v>NESCAFE</v>
      </c>
      <c r="K55" s="5">
        <f>(SuperMarket[[#This Row],[Qté]]*SuperMarket[[#This Row],[Prix_Unit]])</f>
        <v>28000</v>
      </c>
      <c r="L55" s="4" t="str">
        <f>TEXT(DATE(RIGHT(SuperMarket[[#This Row],[Date]],4),MID(SuperMarket[[#This Row],[Date]],4,2),LEFT(SuperMarket[[#This Row],[Date]],2)),"mmmm")</f>
        <v>April</v>
      </c>
    </row>
    <row r="56" spans="1:12" x14ac:dyDescent="0.3">
      <c r="A56" t="s">
        <v>268</v>
      </c>
      <c r="B56" s="3" t="s">
        <v>269</v>
      </c>
      <c r="C56" t="s">
        <v>26</v>
      </c>
      <c r="D56" t="s">
        <v>270</v>
      </c>
      <c r="E56" t="s">
        <v>271</v>
      </c>
      <c r="F56" t="s">
        <v>56</v>
      </c>
      <c r="G56" t="s">
        <v>14</v>
      </c>
      <c r="H56" s="1" t="s">
        <v>23</v>
      </c>
      <c r="I56" t="str">
        <f>UPPER(SuperMarket[Ville])</f>
        <v>KRIBI</v>
      </c>
      <c r="J56" t="str">
        <f>UPPER(SuperMarket[Marque])</f>
        <v>RAUCH</v>
      </c>
      <c r="K56" s="5">
        <f>(SuperMarket[[#This Row],[Qté]]*SuperMarket[[#This Row],[Prix_Unit]])</f>
        <v>12000</v>
      </c>
      <c r="L56" s="4" t="str">
        <f>TEXT(DATE(RIGHT(SuperMarket[[#This Row],[Date]],4),MID(SuperMarket[[#This Row],[Date]],4,2),LEFT(SuperMarket[[#This Row],[Date]],2)),"mmmm")</f>
        <v>April</v>
      </c>
    </row>
    <row r="57" spans="1:12" x14ac:dyDescent="0.3">
      <c r="A57" t="s">
        <v>272</v>
      </c>
      <c r="B57" s="3" t="s">
        <v>273</v>
      </c>
      <c r="C57" t="s">
        <v>10</v>
      </c>
      <c r="D57" t="s">
        <v>274</v>
      </c>
      <c r="E57" t="s">
        <v>275</v>
      </c>
      <c r="F57" t="s">
        <v>21</v>
      </c>
      <c r="G57" t="s">
        <v>22</v>
      </c>
      <c r="H57" s="1" t="s">
        <v>276</v>
      </c>
      <c r="I57" t="str">
        <f>UPPER(SuperMarket[Ville])</f>
        <v>YAOUNDÉ</v>
      </c>
      <c r="J57" t="str">
        <f>UPPER(SuperMarket[Marque])</f>
        <v>NIDO</v>
      </c>
      <c r="K57" s="5">
        <f>(SuperMarket[[#This Row],[Qté]]*SuperMarket[[#This Row],[Prix_Unit]])</f>
        <v>32500</v>
      </c>
      <c r="L57" s="4" t="str">
        <f>TEXT(DATE(RIGHT(SuperMarket[[#This Row],[Date]],4),MID(SuperMarket[[#This Row],[Date]],4,2),LEFT(SuperMarket[[#This Row],[Date]],2)),"mmmm")</f>
        <v>April</v>
      </c>
    </row>
    <row r="58" spans="1:12" x14ac:dyDescent="0.3">
      <c r="A58" t="s">
        <v>277</v>
      </c>
      <c r="B58" s="3" t="s">
        <v>278</v>
      </c>
      <c r="C58" t="s">
        <v>18</v>
      </c>
      <c r="D58" t="s">
        <v>279</v>
      </c>
      <c r="E58" t="s">
        <v>280</v>
      </c>
      <c r="F58" t="s">
        <v>13</v>
      </c>
      <c r="G58" t="s">
        <v>63</v>
      </c>
      <c r="H58" s="1" t="s">
        <v>31</v>
      </c>
      <c r="I58" t="str">
        <f>UPPER(SuperMarket[Ville])</f>
        <v>DOUALA</v>
      </c>
      <c r="J58" t="str">
        <f>UPPER(SuperMarket[Marque])</f>
        <v>LOTUS</v>
      </c>
      <c r="K58" s="5">
        <f>(SuperMarket[[#This Row],[Qté]]*SuperMarket[[#This Row],[Prix_Unit]])</f>
        <v>9600</v>
      </c>
      <c r="L58" s="4" t="str">
        <f>TEXT(DATE(RIGHT(SuperMarket[[#This Row],[Date]],4),MID(SuperMarket[[#This Row],[Date]],4,2),LEFT(SuperMarket[[#This Row],[Date]],2)),"mmmm")</f>
        <v>April</v>
      </c>
    </row>
    <row r="59" spans="1:12" x14ac:dyDescent="0.3">
      <c r="A59" t="s">
        <v>281</v>
      </c>
      <c r="B59" s="3" t="s">
        <v>282</v>
      </c>
      <c r="C59" t="s">
        <v>26</v>
      </c>
      <c r="D59" t="s">
        <v>283</v>
      </c>
      <c r="E59" t="s">
        <v>211</v>
      </c>
      <c r="F59" t="s">
        <v>29</v>
      </c>
      <c r="G59" t="s">
        <v>44</v>
      </c>
      <c r="H59" s="1" t="s">
        <v>51</v>
      </c>
      <c r="I59" t="str">
        <f>UPPER(SuperMarket[Ville])</f>
        <v>GAROUA</v>
      </c>
      <c r="J59" t="str">
        <f>UPPER(SuperMarket[Marque])</f>
        <v>SABC</v>
      </c>
      <c r="K59" s="5">
        <f>(SuperMarket[[#This Row],[Qté]]*SuperMarket[[#This Row],[Prix_Unit]])</f>
        <v>16500</v>
      </c>
      <c r="L59" s="4" t="str">
        <f>TEXT(DATE(RIGHT(SuperMarket[[#This Row],[Date]],4),MID(SuperMarket[[#This Row],[Date]],4,2),LEFT(SuperMarket[[#This Row],[Date]],2)),"mmmm")</f>
        <v>May</v>
      </c>
    </row>
    <row r="60" spans="1:12" x14ac:dyDescent="0.3">
      <c r="A60" t="s">
        <v>284</v>
      </c>
      <c r="B60" s="3" t="s">
        <v>285</v>
      </c>
      <c r="C60" t="s">
        <v>34</v>
      </c>
      <c r="D60" t="s">
        <v>286</v>
      </c>
      <c r="E60" t="s">
        <v>287</v>
      </c>
      <c r="F60" t="s">
        <v>37</v>
      </c>
      <c r="G60" t="s">
        <v>69</v>
      </c>
      <c r="H60" s="1" t="s">
        <v>216</v>
      </c>
      <c r="I60" t="str">
        <f>UPPER(SuperMarket[Ville])</f>
        <v>BAFOUSSAM</v>
      </c>
      <c r="J60" t="str">
        <f>UPPER(SuperMarket[Marque])</f>
        <v>ORAL-B</v>
      </c>
      <c r="K60" s="5">
        <f>(SuperMarket[[#This Row],[Qté]]*SuperMarket[[#This Row],[Prix_Unit]])</f>
        <v>18000</v>
      </c>
      <c r="L60" s="4" t="str">
        <f>TEXT(DATE(RIGHT(SuperMarket[[#This Row],[Date]],4),MID(SuperMarket[[#This Row],[Date]],4,2),LEFT(SuperMarket[[#This Row],[Date]],2)),"mmmm")</f>
        <v>May</v>
      </c>
    </row>
    <row r="61" spans="1:12" x14ac:dyDescent="0.3">
      <c r="A61" t="s">
        <v>288</v>
      </c>
      <c r="B61" s="3" t="s">
        <v>289</v>
      </c>
      <c r="C61" t="s">
        <v>10</v>
      </c>
      <c r="D61" t="s">
        <v>290</v>
      </c>
      <c r="E61" t="s">
        <v>291</v>
      </c>
      <c r="F61" t="s">
        <v>56</v>
      </c>
      <c r="G61" t="s">
        <v>30</v>
      </c>
      <c r="H61" s="1" t="s">
        <v>23</v>
      </c>
      <c r="I61" t="str">
        <f>UPPER(SuperMarket[Ville])</f>
        <v>KRIBI</v>
      </c>
      <c r="J61" t="str">
        <f>UPPER(SuperMarket[Marque])</f>
        <v>LIPTON</v>
      </c>
      <c r="K61" s="5">
        <f>(SuperMarket[[#This Row],[Qté]]*SuperMarket[[#This Row],[Prix_Unit]])</f>
        <v>24000</v>
      </c>
      <c r="L61" s="4" t="str">
        <f>TEXT(DATE(RIGHT(SuperMarket[[#This Row],[Date]],4),MID(SuperMarket[[#This Row],[Date]],4,2),LEFT(SuperMarket[[#This Row],[Date]],2)),"mmmm")</f>
        <v>May</v>
      </c>
    </row>
    <row r="62" spans="1:12" x14ac:dyDescent="0.3">
      <c r="A62" t="s">
        <v>292</v>
      </c>
      <c r="B62" s="3" t="s">
        <v>293</v>
      </c>
      <c r="C62" t="s">
        <v>26</v>
      </c>
      <c r="D62" t="s">
        <v>294</v>
      </c>
      <c r="E62" t="s">
        <v>271</v>
      </c>
      <c r="F62" t="s">
        <v>13</v>
      </c>
      <c r="G62" t="s">
        <v>69</v>
      </c>
      <c r="H62" s="1" t="s">
        <v>51</v>
      </c>
      <c r="I62" t="str">
        <f>UPPER(SuperMarket[Ville])</f>
        <v>DOUALA</v>
      </c>
      <c r="J62" t="str">
        <f>UPPER(SuperMarket[Marque])</f>
        <v>RAUCH</v>
      </c>
      <c r="K62" s="5">
        <f>(SuperMarket[[#This Row],[Qté]]*SuperMarket[[#This Row],[Prix_Unit]])</f>
        <v>13200</v>
      </c>
      <c r="L62" s="4" t="str">
        <f>TEXT(DATE(RIGHT(SuperMarket[[#This Row],[Date]],4),MID(SuperMarket[[#This Row],[Date]],4,2),LEFT(SuperMarket[[#This Row],[Date]],2)),"mmmm")</f>
        <v>June</v>
      </c>
    </row>
    <row r="63" spans="1:12" x14ac:dyDescent="0.3">
      <c r="A63" t="s">
        <v>295</v>
      </c>
      <c r="B63" s="3" t="s">
        <v>296</v>
      </c>
      <c r="C63" t="s">
        <v>10</v>
      </c>
      <c r="D63" t="s">
        <v>297</v>
      </c>
      <c r="E63" t="s">
        <v>243</v>
      </c>
      <c r="F63" t="s">
        <v>21</v>
      </c>
      <c r="G63" t="s">
        <v>118</v>
      </c>
      <c r="H63" s="1" t="s">
        <v>64</v>
      </c>
      <c r="I63" t="str">
        <f>UPPER(SuperMarket[Ville])</f>
        <v>YAOUNDÉ</v>
      </c>
      <c r="J63" t="str">
        <f>UPPER(SuperMarket[Marque])</f>
        <v>MAGGI</v>
      </c>
      <c r="K63" s="5">
        <f>(SuperMarket[[#This Row],[Qté]]*SuperMarket[[#This Row],[Prix_Unit]])</f>
        <v>16250</v>
      </c>
      <c r="L63" s="4" t="str">
        <f>TEXT(DATE(RIGHT(SuperMarket[[#This Row],[Date]],4),MID(SuperMarket[[#This Row],[Date]],4,2),LEFT(SuperMarket[[#This Row],[Date]],2)),"mmmm")</f>
        <v>June</v>
      </c>
    </row>
    <row r="64" spans="1:12" x14ac:dyDescent="0.3">
      <c r="A64" t="s">
        <v>298</v>
      </c>
      <c r="B64" s="3" t="s">
        <v>111</v>
      </c>
      <c r="C64" t="s">
        <v>18</v>
      </c>
      <c r="D64" t="s">
        <v>102</v>
      </c>
      <c r="E64" t="s">
        <v>103</v>
      </c>
      <c r="F64" t="s">
        <v>29</v>
      </c>
      <c r="G64" t="s">
        <v>84</v>
      </c>
      <c r="H64" s="1" t="s">
        <v>152</v>
      </c>
      <c r="I64" t="str">
        <f>UPPER(SuperMarket[Ville])</f>
        <v>GAROUA</v>
      </c>
      <c r="J64" t="str">
        <f>UPPER(SuperMarket[Marque])</f>
        <v>AIRWICK</v>
      </c>
      <c r="K64" s="5">
        <f>(SuperMarket[[#This Row],[Qté]]*SuperMarket[[#This Row],[Prix_Unit]])</f>
        <v>13200</v>
      </c>
      <c r="L64" s="4" t="str">
        <f>TEXT(DATE(RIGHT(SuperMarket[[#This Row],[Date]],4),MID(SuperMarket[[#This Row],[Date]],4,2),LEFT(SuperMarket[[#This Row],[Date]],2)),"mmmm")</f>
        <v>June</v>
      </c>
    </row>
    <row r="65" spans="1:12" x14ac:dyDescent="0.3">
      <c r="A65" t="s">
        <v>299</v>
      </c>
      <c r="B65" s="3" t="s">
        <v>300</v>
      </c>
      <c r="C65" t="s">
        <v>34</v>
      </c>
      <c r="D65" t="s">
        <v>301</v>
      </c>
      <c r="E65" t="s">
        <v>36</v>
      </c>
      <c r="F65" t="s">
        <v>56</v>
      </c>
      <c r="G65" t="s">
        <v>57</v>
      </c>
      <c r="H65" s="1" t="s">
        <v>15</v>
      </c>
      <c r="I65" t="str">
        <f>UPPER(SuperMarket[Ville])</f>
        <v>KRIBI</v>
      </c>
      <c r="J65" t="str">
        <f>UPPER(SuperMarket[Marque])</f>
        <v>NIVEA</v>
      </c>
      <c r="K65" s="5">
        <f>(SuperMarket[[#This Row],[Qté]]*SuperMarket[[#This Row],[Prix_Unit]])</f>
        <v>18000</v>
      </c>
      <c r="L65" s="4" t="str">
        <f>TEXT(DATE(RIGHT(SuperMarket[[#This Row],[Date]],4),MID(SuperMarket[[#This Row],[Date]],4,2),LEFT(SuperMarket[[#This Row],[Date]],2)),"mmmm")</f>
        <v>June</v>
      </c>
    </row>
    <row r="66" spans="1:12" x14ac:dyDescent="0.3">
      <c r="A66" t="s">
        <v>302</v>
      </c>
      <c r="B66" s="3" t="s">
        <v>115</v>
      </c>
      <c r="C66" t="s">
        <v>26</v>
      </c>
      <c r="D66" t="s">
        <v>303</v>
      </c>
      <c r="E66" t="s">
        <v>211</v>
      </c>
      <c r="F66" t="s">
        <v>37</v>
      </c>
      <c r="G66" t="s">
        <v>109</v>
      </c>
      <c r="H66" s="1" t="s">
        <v>45</v>
      </c>
      <c r="I66" t="str">
        <f>UPPER(SuperMarket[Ville])</f>
        <v>BAFOUSSAM</v>
      </c>
      <c r="J66" t="str">
        <f>UPPER(SuperMarket[Marque])</f>
        <v>SABC</v>
      </c>
      <c r="K66" s="5">
        <f>(SuperMarket[[#This Row],[Qté]]*SuperMarket[[#This Row],[Prix_Unit]])</f>
        <v>18000</v>
      </c>
      <c r="L66" s="4" t="str">
        <f>TEXT(DATE(RIGHT(SuperMarket[[#This Row],[Date]],4),MID(SuperMarket[[#This Row],[Date]],4,2),LEFT(SuperMarket[[#This Row],[Date]],2)),"mmmm")</f>
        <v>July</v>
      </c>
    </row>
    <row r="67" spans="1:12" x14ac:dyDescent="0.3">
      <c r="A67" t="s">
        <v>304</v>
      </c>
      <c r="B67" s="3" t="s">
        <v>305</v>
      </c>
      <c r="C67" t="s">
        <v>10</v>
      </c>
      <c r="D67" t="s">
        <v>306</v>
      </c>
      <c r="E67" t="s">
        <v>307</v>
      </c>
      <c r="F67" t="s">
        <v>13</v>
      </c>
      <c r="G67" t="s">
        <v>44</v>
      </c>
      <c r="H67" s="1" t="s">
        <v>166</v>
      </c>
      <c r="I67" t="str">
        <f>UPPER(SuperMarket[Ville])</f>
        <v>DOUALA</v>
      </c>
      <c r="J67" t="str">
        <f>UPPER(SuperMarket[Marque])</f>
        <v>CASSEGRAIN</v>
      </c>
      <c r="K67" s="5">
        <f>(SuperMarket[[#This Row],[Qté]]*SuperMarket[[#This Row],[Prix_Unit]])</f>
        <v>21000</v>
      </c>
      <c r="L67" s="4" t="str">
        <f>TEXT(DATE(RIGHT(SuperMarket[[#This Row],[Date]],4),MID(SuperMarket[[#This Row],[Date]],4,2),LEFT(SuperMarket[[#This Row],[Date]],2)),"mmmm")</f>
        <v>July</v>
      </c>
    </row>
    <row r="68" spans="1:12" x14ac:dyDescent="0.3">
      <c r="A68" t="s">
        <v>308</v>
      </c>
      <c r="B68" s="3" t="s">
        <v>309</v>
      </c>
      <c r="C68" t="s">
        <v>18</v>
      </c>
      <c r="D68" t="s">
        <v>310</v>
      </c>
      <c r="E68" t="s">
        <v>311</v>
      </c>
      <c r="F68" t="s">
        <v>21</v>
      </c>
      <c r="G68" t="s">
        <v>22</v>
      </c>
      <c r="H68" s="1" t="s">
        <v>39</v>
      </c>
      <c r="I68" t="str">
        <f>UPPER(SuperMarket[Ville])</f>
        <v>YAOUNDÉ</v>
      </c>
      <c r="J68" t="str">
        <f>UPPER(SuperMarket[Marque])</f>
        <v>TOTAL</v>
      </c>
      <c r="K68" s="5">
        <f>(SuperMarket[[#This Row],[Qté]]*SuperMarket[[#This Row],[Prix_Unit]])</f>
        <v>17500</v>
      </c>
      <c r="L68" s="4" t="str">
        <f>TEXT(DATE(RIGHT(SuperMarket[[#This Row],[Date]],4),MID(SuperMarket[[#This Row],[Date]],4,2),LEFT(SuperMarket[[#This Row],[Date]],2)),"mmmm")</f>
        <v>July</v>
      </c>
    </row>
    <row r="69" spans="1:12" x14ac:dyDescent="0.3">
      <c r="A69" t="s">
        <v>312</v>
      </c>
      <c r="B69" s="3" t="s">
        <v>313</v>
      </c>
      <c r="C69" t="s">
        <v>34</v>
      </c>
      <c r="D69" t="s">
        <v>314</v>
      </c>
      <c r="E69" t="s">
        <v>98</v>
      </c>
      <c r="F69" t="s">
        <v>29</v>
      </c>
      <c r="G69" t="s">
        <v>14</v>
      </c>
      <c r="H69" s="1" t="s">
        <v>175</v>
      </c>
      <c r="I69" t="str">
        <f>UPPER(SuperMarket[Ville])</f>
        <v>GAROUA</v>
      </c>
      <c r="J69" t="str">
        <f>UPPER(SuperMarket[Marque])</f>
        <v>DOVE</v>
      </c>
      <c r="K69" s="5">
        <f>(SuperMarket[[#This Row],[Qté]]*SuperMarket[[#This Row],[Prix_Unit]])</f>
        <v>28000</v>
      </c>
      <c r="L69" s="4" t="str">
        <f>TEXT(DATE(RIGHT(SuperMarket[[#This Row],[Date]],4),MID(SuperMarket[[#This Row],[Date]],4,2),LEFT(SuperMarket[[#This Row],[Date]],2)),"mmmm")</f>
        <v>July</v>
      </c>
    </row>
    <row r="70" spans="1:12" x14ac:dyDescent="0.3">
      <c r="A70" t="s">
        <v>315</v>
      </c>
      <c r="B70" s="3" t="s">
        <v>130</v>
      </c>
      <c r="C70" t="s">
        <v>26</v>
      </c>
      <c r="D70" t="s">
        <v>316</v>
      </c>
      <c r="E70" t="s">
        <v>211</v>
      </c>
      <c r="F70" t="s">
        <v>13</v>
      </c>
      <c r="G70" t="s">
        <v>317</v>
      </c>
      <c r="H70" s="1" t="s">
        <v>45</v>
      </c>
      <c r="I70" t="str">
        <f>UPPER(SuperMarket[Ville])</f>
        <v>DOUALA</v>
      </c>
      <c r="J70" t="str">
        <f>UPPER(SuperMarket[Marque])</f>
        <v>SABC</v>
      </c>
      <c r="K70" s="5">
        <f>(SuperMarket[[#This Row],[Qté]]*SuperMarket[[#This Row],[Prix_Unit]])</f>
        <v>28800</v>
      </c>
      <c r="L70" s="4" t="str">
        <f>TEXT(DATE(RIGHT(SuperMarket[[#This Row],[Date]],4),MID(SuperMarket[[#This Row],[Date]],4,2),LEFT(SuperMarket[[#This Row],[Date]],2)),"mmmm")</f>
        <v>August</v>
      </c>
    </row>
    <row r="71" spans="1:12" x14ac:dyDescent="0.3">
      <c r="A71" t="s">
        <v>318</v>
      </c>
      <c r="B71" s="3" t="s">
        <v>319</v>
      </c>
      <c r="C71" t="s">
        <v>10</v>
      </c>
      <c r="D71" t="s">
        <v>320</v>
      </c>
      <c r="E71" t="s">
        <v>321</v>
      </c>
      <c r="F71" t="s">
        <v>37</v>
      </c>
      <c r="G71" t="s">
        <v>50</v>
      </c>
      <c r="H71" s="1" t="s">
        <v>322</v>
      </c>
      <c r="I71" t="str">
        <f>UPPER(SuperMarket[Ville])</f>
        <v>BAFOUSSAM</v>
      </c>
      <c r="J71" t="str">
        <f>UPPER(SuperMarket[Marque])</f>
        <v>MILO</v>
      </c>
      <c r="K71" s="5">
        <f>(SuperMarket[[#This Row],[Qté]]*SuperMarket[[#This Row],[Prix_Unit]])</f>
        <v>33600</v>
      </c>
      <c r="L71" s="4" t="str">
        <f>TEXT(DATE(RIGHT(SuperMarket[[#This Row],[Date]],4),MID(SuperMarket[[#This Row],[Date]],4,2),LEFT(SuperMarket[[#This Row],[Date]],2)),"mmmm")</f>
        <v>August</v>
      </c>
    </row>
    <row r="72" spans="1:12" x14ac:dyDescent="0.3">
      <c r="A72" t="s">
        <v>323</v>
      </c>
      <c r="B72" s="3" t="s">
        <v>140</v>
      </c>
      <c r="C72" t="s">
        <v>18</v>
      </c>
      <c r="D72" t="s">
        <v>324</v>
      </c>
      <c r="E72" t="s">
        <v>325</v>
      </c>
      <c r="F72" t="s">
        <v>56</v>
      </c>
      <c r="G72" t="s">
        <v>30</v>
      </c>
      <c r="H72" s="1" t="s">
        <v>64</v>
      </c>
      <c r="I72" t="str">
        <f>UPPER(SuperMarket[Ville])</f>
        <v>KRIBI</v>
      </c>
      <c r="J72" t="str">
        <f>UPPER(SuperMarket[Marque])</f>
        <v>OKI</v>
      </c>
      <c r="K72" s="5">
        <f>(SuperMarket[[#This Row],[Qté]]*SuperMarket[[#This Row],[Prix_Unit]])</f>
        <v>13000</v>
      </c>
      <c r="L72" s="4" t="str">
        <f>TEXT(DATE(RIGHT(SuperMarket[[#This Row],[Date]],4),MID(SuperMarket[[#This Row],[Date]],4,2),LEFT(SuperMarket[[#This Row],[Date]],2)),"mmmm")</f>
        <v>August</v>
      </c>
    </row>
    <row r="73" spans="1:12" x14ac:dyDescent="0.3">
      <c r="A73" t="s">
        <v>326</v>
      </c>
      <c r="B73" s="3" t="s">
        <v>145</v>
      </c>
      <c r="C73" t="s">
        <v>26</v>
      </c>
      <c r="D73" t="s">
        <v>327</v>
      </c>
      <c r="E73" t="s">
        <v>328</v>
      </c>
      <c r="F73" t="s">
        <v>21</v>
      </c>
      <c r="G73" t="s">
        <v>84</v>
      </c>
      <c r="H73" s="1" t="s">
        <v>329</v>
      </c>
      <c r="I73" t="str">
        <f>UPPER(SuperMarket[Ville])</f>
        <v>YAOUNDÉ</v>
      </c>
      <c r="J73" t="str">
        <f>UPPER(SuperMarket[Marque])</f>
        <v>TEISSEIRE</v>
      </c>
      <c r="K73" s="5">
        <f>(SuperMarket[[#This Row],[Qté]]*SuperMarket[[#This Row],[Prix_Unit]])</f>
        <v>22800</v>
      </c>
      <c r="L73" s="4" t="str">
        <f>TEXT(DATE(RIGHT(SuperMarket[[#This Row],[Date]],4),MID(SuperMarket[[#This Row],[Date]],4,2),LEFT(SuperMarket[[#This Row],[Date]],2)),"mmmm")</f>
        <v>September</v>
      </c>
    </row>
    <row r="74" spans="1:12" x14ac:dyDescent="0.3">
      <c r="A74" t="s">
        <v>330</v>
      </c>
      <c r="B74" s="3" t="s">
        <v>331</v>
      </c>
      <c r="C74" t="s">
        <v>10</v>
      </c>
      <c r="D74" t="s">
        <v>332</v>
      </c>
      <c r="E74" t="s">
        <v>333</v>
      </c>
      <c r="F74" t="s">
        <v>13</v>
      </c>
      <c r="G74" t="s">
        <v>137</v>
      </c>
      <c r="H74" s="1" t="s">
        <v>94</v>
      </c>
      <c r="I74" t="str">
        <f>UPPER(SuperMarket[Ville])</f>
        <v>DOUALA</v>
      </c>
      <c r="J74" t="str">
        <f>UPPER(SuperMarket[Marque])</f>
        <v>LU</v>
      </c>
      <c r="K74" s="5">
        <f>(SuperMarket[[#This Row],[Qté]]*SuperMarket[[#This Row],[Prix_Unit]])</f>
        <v>17500</v>
      </c>
      <c r="L74" s="4" t="str">
        <f>TEXT(DATE(RIGHT(SuperMarket[[#This Row],[Date]],4),MID(SuperMarket[[#This Row],[Date]],4,2),LEFT(SuperMarket[[#This Row],[Date]],2)),"mmmm")</f>
        <v>September</v>
      </c>
    </row>
    <row r="75" spans="1:12" x14ac:dyDescent="0.3">
      <c r="A75" t="s">
        <v>334</v>
      </c>
      <c r="B75" s="3" t="s">
        <v>335</v>
      </c>
      <c r="C75" t="s">
        <v>34</v>
      </c>
      <c r="D75" t="s">
        <v>336</v>
      </c>
      <c r="E75" t="s">
        <v>337</v>
      </c>
      <c r="F75" t="s">
        <v>29</v>
      </c>
      <c r="G75" t="s">
        <v>44</v>
      </c>
      <c r="H75" s="1" t="s">
        <v>23</v>
      </c>
      <c r="I75" t="str">
        <f>UPPER(SuperMarket[Ville])</f>
        <v>GAROUA</v>
      </c>
      <c r="J75" t="str">
        <f>UPPER(SuperMarket[Marque])</f>
        <v>MAYBELLINE</v>
      </c>
      <c r="K75" s="5">
        <f>(SuperMarket[[#This Row],[Qté]]*SuperMarket[[#This Row],[Prix_Unit]])</f>
        <v>18000</v>
      </c>
      <c r="L75" s="4" t="str">
        <f>TEXT(DATE(RIGHT(SuperMarket[[#This Row],[Date]],4),MID(SuperMarket[[#This Row],[Date]],4,2),LEFT(SuperMarket[[#This Row],[Date]],2)),"mmmm")</f>
        <v>September</v>
      </c>
    </row>
    <row r="76" spans="1:12" x14ac:dyDescent="0.3">
      <c r="A76" t="s">
        <v>338</v>
      </c>
      <c r="B76" s="3" t="s">
        <v>339</v>
      </c>
      <c r="C76" t="s">
        <v>18</v>
      </c>
      <c r="D76" t="s">
        <v>340</v>
      </c>
      <c r="E76" t="s">
        <v>341</v>
      </c>
      <c r="F76" t="s">
        <v>37</v>
      </c>
      <c r="G76" t="s">
        <v>69</v>
      </c>
      <c r="H76" s="1" t="s">
        <v>175</v>
      </c>
      <c r="I76" t="str">
        <f>UPPER(SuperMarket[Ville])</f>
        <v>BAFOUSSAM</v>
      </c>
      <c r="J76" t="str">
        <f>UPPER(SuperMarket[Marque])</f>
        <v>BAYGON</v>
      </c>
      <c r="K76" s="5">
        <f>(SuperMarket[[#This Row],[Qté]]*SuperMarket[[#This Row],[Prix_Unit]])</f>
        <v>33600</v>
      </c>
      <c r="L76" s="4" t="str">
        <f>TEXT(DATE(RIGHT(SuperMarket[[#This Row],[Date]],4),MID(SuperMarket[[#This Row],[Date]],4,2),LEFT(SuperMarket[[#This Row],[Date]],2)),"mmmm")</f>
        <v>September</v>
      </c>
    </row>
    <row r="77" spans="1:12" x14ac:dyDescent="0.3">
      <c r="A77" t="s">
        <v>342</v>
      </c>
      <c r="B77" s="3" t="s">
        <v>158</v>
      </c>
      <c r="C77" t="s">
        <v>26</v>
      </c>
      <c r="D77" t="s">
        <v>343</v>
      </c>
      <c r="E77" t="s">
        <v>344</v>
      </c>
      <c r="F77" t="s">
        <v>56</v>
      </c>
      <c r="G77" t="s">
        <v>14</v>
      </c>
      <c r="H77" s="1" t="s">
        <v>216</v>
      </c>
      <c r="I77" t="str">
        <f>UPPER(SuperMarket[Ville])</f>
        <v>KRIBI</v>
      </c>
      <c r="J77" t="str">
        <f>UPPER(SuperMarket[Marque])</f>
        <v>VITACOCO</v>
      </c>
      <c r="K77" s="5">
        <f>(SuperMarket[[#This Row],[Qté]]*SuperMarket[[#This Row],[Prix_Unit]])</f>
        <v>15000</v>
      </c>
      <c r="L77" s="4" t="str">
        <f>TEXT(DATE(RIGHT(SuperMarket[[#This Row],[Date]],4),MID(SuperMarket[[#This Row],[Date]],4,2),LEFT(SuperMarket[[#This Row],[Date]],2)),"mmmm")</f>
        <v>October</v>
      </c>
    </row>
    <row r="78" spans="1:12" x14ac:dyDescent="0.3">
      <c r="A78" t="s">
        <v>345</v>
      </c>
      <c r="B78" s="3" t="s">
        <v>346</v>
      </c>
      <c r="C78" t="s">
        <v>10</v>
      </c>
      <c r="D78" t="s">
        <v>347</v>
      </c>
      <c r="E78" t="s">
        <v>348</v>
      </c>
      <c r="F78" t="s">
        <v>13</v>
      </c>
      <c r="G78" t="s">
        <v>30</v>
      </c>
      <c r="H78" s="1" t="s">
        <v>104</v>
      </c>
      <c r="I78" t="str">
        <f>UPPER(SuperMarket[Ville])</f>
        <v>DOUALA</v>
      </c>
      <c r="J78" t="str">
        <f>UPPER(SuperMarket[Marque])</f>
        <v>CHOCOCAM</v>
      </c>
      <c r="K78" s="5">
        <f>(SuperMarket[[#This Row],[Qté]]*SuperMarket[[#This Row],[Prix_Unit]])</f>
        <v>36000</v>
      </c>
      <c r="L78" s="4" t="str">
        <f>TEXT(DATE(RIGHT(SuperMarket[[#This Row],[Date]],4),MID(SuperMarket[[#This Row],[Date]],4,2),LEFT(SuperMarket[[#This Row],[Date]],2)),"mmmm")</f>
        <v>October</v>
      </c>
    </row>
    <row r="79" spans="1:12" x14ac:dyDescent="0.3">
      <c r="A79" t="s">
        <v>349</v>
      </c>
      <c r="B79" s="3" t="s">
        <v>168</v>
      </c>
      <c r="C79" t="s">
        <v>18</v>
      </c>
      <c r="D79" t="s">
        <v>350</v>
      </c>
      <c r="E79" t="s">
        <v>351</v>
      </c>
      <c r="F79" t="s">
        <v>21</v>
      </c>
      <c r="G79" t="s">
        <v>22</v>
      </c>
      <c r="H79" s="1" t="s">
        <v>352</v>
      </c>
      <c r="I79" t="str">
        <f>UPPER(SuperMarket[Ville])</f>
        <v>YAOUNDÉ</v>
      </c>
      <c r="J79" t="str">
        <f>UPPER(SuperMarket[Marque])</f>
        <v>SOUPLINE</v>
      </c>
      <c r="K79" s="5">
        <f>(SuperMarket[[#This Row],[Qté]]*SuperMarket[[#This Row],[Prix_Unit]])</f>
        <v>16000</v>
      </c>
      <c r="L79" s="4" t="str">
        <f>TEXT(DATE(RIGHT(SuperMarket[[#This Row],[Date]],4),MID(SuperMarket[[#This Row],[Date]],4,2),LEFT(SuperMarket[[#This Row],[Date]],2)),"mmmm")</f>
        <v>October</v>
      </c>
    </row>
    <row r="80" spans="1:12" x14ac:dyDescent="0.3">
      <c r="A80" t="s">
        <v>353</v>
      </c>
      <c r="B80" s="3" t="s">
        <v>172</v>
      </c>
      <c r="C80" t="s">
        <v>26</v>
      </c>
      <c r="D80" t="s">
        <v>354</v>
      </c>
      <c r="E80" t="s">
        <v>211</v>
      </c>
      <c r="F80" t="s">
        <v>29</v>
      </c>
      <c r="G80" t="s">
        <v>63</v>
      </c>
      <c r="H80" s="1" t="s">
        <v>180</v>
      </c>
      <c r="I80" t="str">
        <f>UPPER(SuperMarket[Ville])</f>
        <v>GAROUA</v>
      </c>
      <c r="J80" t="str">
        <f>UPPER(SuperMarket[Marque])</f>
        <v>SABC</v>
      </c>
      <c r="K80" s="5">
        <f>(SuperMarket[[#This Row],[Qté]]*SuperMarket[[#This Row],[Prix_Unit]])</f>
        <v>16800</v>
      </c>
      <c r="L80" s="4" t="str">
        <f>TEXT(DATE(RIGHT(SuperMarket[[#This Row],[Date]],4),MID(SuperMarket[[#This Row],[Date]],4,2),LEFT(SuperMarket[[#This Row],[Date]],2)),"mmmm")</f>
        <v>November</v>
      </c>
    </row>
    <row r="81" spans="1:12" x14ac:dyDescent="0.3">
      <c r="A81" t="s">
        <v>355</v>
      </c>
      <c r="B81" s="3" t="s">
        <v>356</v>
      </c>
      <c r="C81" t="s">
        <v>34</v>
      </c>
      <c r="D81" t="s">
        <v>357</v>
      </c>
      <c r="E81" t="s">
        <v>358</v>
      </c>
      <c r="F81" t="s">
        <v>37</v>
      </c>
      <c r="G81" t="s">
        <v>93</v>
      </c>
      <c r="H81" s="1" t="s">
        <v>94</v>
      </c>
      <c r="I81" t="str">
        <f>UPPER(SuperMarket[Ville])</f>
        <v>BAFOUSSAM</v>
      </c>
      <c r="J81" t="str">
        <f>UPPER(SuperMarket[Marque])</f>
        <v>GILLETTE</v>
      </c>
      <c r="K81" s="5">
        <f>(SuperMarket[[#This Row],[Qté]]*SuperMarket[[#This Row],[Prix_Unit]])</f>
        <v>14000</v>
      </c>
      <c r="L81" s="4" t="str">
        <f>TEXT(DATE(RIGHT(SuperMarket[[#This Row],[Date]],4),MID(SuperMarket[[#This Row],[Date]],4,2),LEFT(SuperMarket[[#This Row],[Date]],2)),"mmmm")</f>
        <v>November</v>
      </c>
    </row>
    <row r="82" spans="1:12" x14ac:dyDescent="0.3">
      <c r="A82" t="s">
        <v>359</v>
      </c>
      <c r="B82" s="3" t="s">
        <v>360</v>
      </c>
      <c r="C82" t="s">
        <v>10</v>
      </c>
      <c r="D82" t="s">
        <v>361</v>
      </c>
      <c r="E82" t="s">
        <v>184</v>
      </c>
      <c r="F82" t="s">
        <v>56</v>
      </c>
      <c r="G82" t="s">
        <v>44</v>
      </c>
      <c r="H82" s="1" t="s">
        <v>58</v>
      </c>
      <c r="I82" t="str">
        <f>UPPER(SuperMarket[Ville])</f>
        <v>KRIBI</v>
      </c>
      <c r="J82" t="str">
        <f>UPPER(SuperMarket[Marque])</f>
        <v>REGINA</v>
      </c>
      <c r="K82" s="5">
        <f>(SuperMarket[[#This Row],[Qté]]*SuperMarket[[#This Row],[Prix_Unit]])</f>
        <v>12750</v>
      </c>
      <c r="L82" s="4" t="str">
        <f>TEXT(DATE(RIGHT(SuperMarket[[#This Row],[Date]],4),MID(SuperMarket[[#This Row],[Date]],4,2),LEFT(SuperMarket[[#This Row],[Date]],2)),"mmmm")</f>
        <v>November</v>
      </c>
    </row>
    <row r="83" spans="1:12" x14ac:dyDescent="0.3">
      <c r="A83" t="s">
        <v>362</v>
      </c>
      <c r="B83" s="3" t="s">
        <v>187</v>
      </c>
      <c r="C83" t="s">
        <v>26</v>
      </c>
      <c r="D83" t="s">
        <v>363</v>
      </c>
      <c r="E83" t="s">
        <v>78</v>
      </c>
      <c r="F83" t="s">
        <v>13</v>
      </c>
      <c r="G83" t="s">
        <v>84</v>
      </c>
      <c r="H83" s="1" t="s">
        <v>364</v>
      </c>
      <c r="I83" t="str">
        <f>UPPER(SuperMarket[Ville])</f>
        <v>DOUALA</v>
      </c>
      <c r="J83" t="str">
        <f>UPPER(SuperMarket[Marque])</f>
        <v>BVC</v>
      </c>
      <c r="K83" s="5">
        <f>(SuperMarket[[#This Row],[Qté]]*SuperMarket[[#This Row],[Prix_Unit]])</f>
        <v>33000</v>
      </c>
      <c r="L83" s="4" t="str">
        <f>TEXT(DATE(RIGHT(SuperMarket[[#This Row],[Date]],4),MID(SuperMarket[[#This Row],[Date]],4,2),LEFT(SuperMarket[[#This Row],[Date]],2)),"mmmm")</f>
        <v>December</v>
      </c>
    </row>
    <row r="84" spans="1:12" x14ac:dyDescent="0.3">
      <c r="A84" t="s">
        <v>365</v>
      </c>
      <c r="B84" s="3" t="s">
        <v>191</v>
      </c>
      <c r="C84" t="s">
        <v>10</v>
      </c>
      <c r="D84" t="s">
        <v>366</v>
      </c>
      <c r="E84" t="s">
        <v>199</v>
      </c>
      <c r="F84" t="s">
        <v>21</v>
      </c>
      <c r="G84" t="s">
        <v>79</v>
      </c>
      <c r="H84" s="1" t="s">
        <v>367</v>
      </c>
      <c r="I84" t="str">
        <f>UPPER(SuperMarket[Ville])</f>
        <v>YAOUNDÉ</v>
      </c>
      <c r="J84" t="str">
        <f>UPPER(SuperMarket[Marque])</f>
        <v>AGROCAM</v>
      </c>
      <c r="K84" s="5">
        <f>(SuperMarket[[#This Row],[Qté]]*SuperMarket[[#This Row],[Prix_Unit]])</f>
        <v>37500</v>
      </c>
      <c r="L84" s="4" t="str">
        <f>TEXT(DATE(RIGHT(SuperMarket[[#This Row],[Date]],4),MID(SuperMarket[[#This Row],[Date]],4,2),LEFT(SuperMarket[[#This Row],[Date]],2)),"mmmm")</f>
        <v>December</v>
      </c>
    </row>
    <row r="85" spans="1:12" x14ac:dyDescent="0.3">
      <c r="A85" t="s">
        <v>368</v>
      </c>
      <c r="B85" s="3" t="s">
        <v>201</v>
      </c>
      <c r="C85" t="s">
        <v>26</v>
      </c>
      <c r="D85" t="s">
        <v>369</v>
      </c>
      <c r="E85" t="s">
        <v>370</v>
      </c>
      <c r="F85" t="s">
        <v>13</v>
      </c>
      <c r="G85" t="s">
        <v>38</v>
      </c>
      <c r="H85" s="1" t="s">
        <v>371</v>
      </c>
      <c r="I85" t="str">
        <f>UPPER(SuperMarket[Ville])</f>
        <v>DOUALA</v>
      </c>
      <c r="J85" t="str">
        <f>UPPER(SuperMarket[Marque])</f>
        <v>CHIVAS</v>
      </c>
      <c r="K85" s="5">
        <f>(SuperMarket[[#This Row],[Qté]]*SuperMarket[[#This Row],[Prix_Unit]])</f>
        <v>70000</v>
      </c>
      <c r="L85" s="4" t="str">
        <f>TEXT(DATE(RIGHT(SuperMarket[[#This Row],[Date]],4),MID(SuperMarket[[#This Row],[Date]],4,2),LEFT(SuperMarket[[#This Row],[Date]],2)),"mmmm")</f>
        <v>December</v>
      </c>
    </row>
    <row r="86" spans="1:12" x14ac:dyDescent="0.3">
      <c r="A86" t="s">
        <v>372</v>
      </c>
      <c r="B86" s="3" t="s">
        <v>206</v>
      </c>
      <c r="C86" t="s">
        <v>34</v>
      </c>
      <c r="D86" t="s">
        <v>373</v>
      </c>
      <c r="E86" t="s">
        <v>374</v>
      </c>
      <c r="F86" t="s">
        <v>37</v>
      </c>
      <c r="G86" t="s">
        <v>69</v>
      </c>
      <c r="H86" s="1" t="s">
        <v>152</v>
      </c>
      <c r="I86" t="str">
        <f>UPPER(SuperMarket[Ville])</f>
        <v>BAFOUSSAM</v>
      </c>
      <c r="J86" t="str">
        <f>UPPER(SuperMarket[Marque])</f>
        <v>LE PETIT MARSEILLAIS</v>
      </c>
      <c r="K86" s="5">
        <f>(SuperMarket[[#This Row],[Qté]]*SuperMarket[[#This Row],[Prix_Unit]])</f>
        <v>26400</v>
      </c>
      <c r="L86" s="4" t="str">
        <f>TEXT(DATE(RIGHT(SuperMarket[[#This Row],[Date]],4),MID(SuperMarket[[#This Row],[Date]],4,2),LEFT(SuperMarket[[#This Row],[Date]],2)),"mmmm")</f>
        <v>December</v>
      </c>
    </row>
    <row r="87" spans="1:12" x14ac:dyDescent="0.3">
      <c r="A87" t="s">
        <v>375</v>
      </c>
      <c r="B87" s="3" t="s">
        <v>9</v>
      </c>
      <c r="C87" t="s">
        <v>10</v>
      </c>
      <c r="D87" t="s">
        <v>376</v>
      </c>
      <c r="E87" t="s">
        <v>49</v>
      </c>
      <c r="F87" t="s">
        <v>13</v>
      </c>
      <c r="G87" t="s">
        <v>14</v>
      </c>
      <c r="H87" s="1" t="s">
        <v>23</v>
      </c>
      <c r="I87" t="str">
        <f>UPPER(SuperMarket[Ville])</f>
        <v>DOUALA</v>
      </c>
      <c r="J87" t="str">
        <f>UPPER(SuperMarket[Marque])</f>
        <v>JADIDA</v>
      </c>
      <c r="K87" s="5">
        <f>(SuperMarket[[#This Row],[Qté]]*SuperMarket[[#This Row],[Prix_Unit]])</f>
        <v>12000</v>
      </c>
      <c r="L87" s="4" t="str">
        <f>TEXT(DATE(RIGHT(SuperMarket[[#This Row],[Date]],4),MID(SuperMarket[[#This Row],[Date]],4,2),LEFT(SuperMarket[[#This Row],[Date]],2)),"mmmm")</f>
        <v>January</v>
      </c>
    </row>
    <row r="88" spans="1:12" x14ac:dyDescent="0.3">
      <c r="A88" t="s">
        <v>377</v>
      </c>
      <c r="B88" s="3" t="s">
        <v>17</v>
      </c>
      <c r="C88" t="s">
        <v>34</v>
      </c>
      <c r="D88" t="s">
        <v>378</v>
      </c>
      <c r="E88" t="s">
        <v>36</v>
      </c>
      <c r="F88" t="s">
        <v>21</v>
      </c>
      <c r="G88" t="s">
        <v>22</v>
      </c>
      <c r="H88" s="1" t="s">
        <v>329</v>
      </c>
      <c r="I88" t="str">
        <f>UPPER(SuperMarket[Ville])</f>
        <v>YAOUNDÉ</v>
      </c>
      <c r="J88" t="str">
        <f>UPPER(SuperMarket[Marque])</f>
        <v>NIVEA</v>
      </c>
      <c r="K88" s="5">
        <f>(SuperMarket[[#This Row],[Qté]]*SuperMarket[[#This Row],[Prix_Unit]])</f>
        <v>19000</v>
      </c>
      <c r="L88" s="4" t="str">
        <f>TEXT(DATE(RIGHT(SuperMarket[[#This Row],[Date]],4),MID(SuperMarket[[#This Row],[Date]],4,2),LEFT(SuperMarket[[#This Row],[Date]],2)),"mmmm")</f>
        <v>January</v>
      </c>
    </row>
    <row r="89" spans="1:12" x14ac:dyDescent="0.3">
      <c r="A89" t="s">
        <v>379</v>
      </c>
      <c r="B89" s="3" t="s">
        <v>380</v>
      </c>
      <c r="C89" t="s">
        <v>26</v>
      </c>
      <c r="D89" t="s">
        <v>381</v>
      </c>
      <c r="E89" t="s">
        <v>271</v>
      </c>
      <c r="F89" t="s">
        <v>29</v>
      </c>
      <c r="G89" t="s">
        <v>44</v>
      </c>
      <c r="H89" s="1" t="s">
        <v>382</v>
      </c>
      <c r="I89" t="str">
        <f>UPPER(SuperMarket[Ville])</f>
        <v>GAROUA</v>
      </c>
      <c r="J89" t="str">
        <f>UPPER(SuperMarket[Marque])</f>
        <v>RAUCH</v>
      </c>
      <c r="K89" s="5">
        <f>(SuperMarket[[#This Row],[Qté]]*SuperMarket[[#This Row],[Prix_Unit]])</f>
        <v>19500</v>
      </c>
      <c r="L89" s="4" t="str">
        <f>TEXT(DATE(RIGHT(SuperMarket[[#This Row],[Date]],4),MID(SuperMarket[[#This Row],[Date]],4,2),LEFT(SuperMarket[[#This Row],[Date]],2)),"mmmm")</f>
        <v>January</v>
      </c>
    </row>
    <row r="90" spans="1:12" x14ac:dyDescent="0.3">
      <c r="A90" t="s">
        <v>383</v>
      </c>
      <c r="B90" s="3" t="s">
        <v>224</v>
      </c>
      <c r="C90" t="s">
        <v>18</v>
      </c>
      <c r="D90" t="s">
        <v>384</v>
      </c>
      <c r="E90" t="s">
        <v>165</v>
      </c>
      <c r="F90" t="s">
        <v>37</v>
      </c>
      <c r="G90" t="s">
        <v>50</v>
      </c>
      <c r="H90" s="1" t="s">
        <v>216</v>
      </c>
      <c r="I90" t="str">
        <f>UPPER(SuperMarket[Ville])</f>
        <v>BAFOUSSAM</v>
      </c>
      <c r="J90" t="str">
        <f>UPPER(SuperMarket[Marque])</f>
        <v>AJAX</v>
      </c>
      <c r="K90" s="5">
        <f>(SuperMarket[[#This Row],[Qté]]*SuperMarket[[#This Row],[Prix_Unit]])</f>
        <v>12000</v>
      </c>
      <c r="L90" s="4" t="str">
        <f>TEXT(DATE(RIGHT(SuperMarket[[#This Row],[Date]],4),MID(SuperMarket[[#This Row],[Date]],4,2),LEFT(SuperMarket[[#This Row],[Date]],2)),"mmmm")</f>
        <v>January</v>
      </c>
    </row>
    <row r="91" spans="1:12" x14ac:dyDescent="0.3">
      <c r="A91" t="s">
        <v>385</v>
      </c>
      <c r="B91" s="3" t="s">
        <v>41</v>
      </c>
      <c r="C91" t="s">
        <v>10</v>
      </c>
      <c r="D91" t="s">
        <v>386</v>
      </c>
      <c r="E91" t="s">
        <v>387</v>
      </c>
      <c r="F91" t="s">
        <v>13</v>
      </c>
      <c r="G91" t="s">
        <v>63</v>
      </c>
      <c r="H91" s="1" t="s">
        <v>104</v>
      </c>
      <c r="I91" t="str">
        <f>UPPER(SuperMarket[Ville])</f>
        <v>DOUALA</v>
      </c>
      <c r="J91" t="str">
        <f>UPPER(SuperMarket[Marque])</f>
        <v>LA VACHE QUI RIT</v>
      </c>
      <c r="K91" s="5">
        <f>(SuperMarket[[#This Row],[Qté]]*SuperMarket[[#This Row],[Prix_Unit]])</f>
        <v>43200</v>
      </c>
      <c r="L91" s="4" t="str">
        <f>TEXT(DATE(RIGHT(SuperMarket[[#This Row],[Date]],4),MID(SuperMarket[[#This Row],[Date]],4,2),LEFT(SuperMarket[[#This Row],[Date]],2)),"mmmm")</f>
        <v>February</v>
      </c>
    </row>
    <row r="92" spans="1:12" x14ac:dyDescent="0.3">
      <c r="A92" t="s">
        <v>388</v>
      </c>
      <c r="B92" s="3" t="s">
        <v>230</v>
      </c>
      <c r="C92" t="s">
        <v>26</v>
      </c>
      <c r="D92" t="s">
        <v>389</v>
      </c>
      <c r="E92" t="s">
        <v>211</v>
      </c>
      <c r="F92" t="s">
        <v>56</v>
      </c>
      <c r="G92" t="s">
        <v>390</v>
      </c>
      <c r="H92" s="1" t="s">
        <v>180</v>
      </c>
      <c r="I92" t="str">
        <f>UPPER(SuperMarket[Ville])</f>
        <v>KRIBI</v>
      </c>
      <c r="J92" t="str">
        <f>UPPER(SuperMarket[Marque])</f>
        <v>SABC</v>
      </c>
      <c r="K92" s="5">
        <f>(SuperMarket[[#This Row],[Qté]]*SuperMarket[[#This Row],[Prix_Unit]])</f>
        <v>25200</v>
      </c>
      <c r="L92" s="4" t="str">
        <f>TEXT(DATE(RIGHT(SuperMarket[[#This Row],[Date]],4),MID(SuperMarket[[#This Row],[Date]],4,2),LEFT(SuperMarket[[#This Row],[Date]],2)),"mmmm")</f>
        <v>February</v>
      </c>
    </row>
    <row r="93" spans="1:12" x14ac:dyDescent="0.3">
      <c r="A93" t="s">
        <v>391</v>
      </c>
      <c r="B93" s="3" t="s">
        <v>392</v>
      </c>
      <c r="C93" t="s">
        <v>34</v>
      </c>
      <c r="D93" t="s">
        <v>393</v>
      </c>
      <c r="E93" t="s">
        <v>394</v>
      </c>
      <c r="F93" t="s">
        <v>21</v>
      </c>
      <c r="G93" t="s">
        <v>69</v>
      </c>
      <c r="H93" s="1" t="s">
        <v>216</v>
      </c>
      <c r="I93" t="str">
        <f>UPPER(SuperMarket[Ville])</f>
        <v>YAOUNDÉ</v>
      </c>
      <c r="J93" t="str">
        <f>UPPER(SuperMarket[Marque])</f>
        <v>GARNIER</v>
      </c>
      <c r="K93" s="5">
        <f>(SuperMarket[[#This Row],[Qté]]*SuperMarket[[#This Row],[Prix_Unit]])</f>
        <v>18000</v>
      </c>
      <c r="L93" s="4" t="str">
        <f>TEXT(DATE(RIGHT(SuperMarket[[#This Row],[Date]],4),MID(SuperMarket[[#This Row],[Date]],4,2),LEFT(SuperMarket[[#This Row],[Date]],2)),"mmmm")</f>
        <v>February</v>
      </c>
    </row>
    <row r="94" spans="1:12" x14ac:dyDescent="0.3">
      <c r="A94" t="s">
        <v>395</v>
      </c>
      <c r="B94" s="3" t="s">
        <v>396</v>
      </c>
      <c r="C94" t="s">
        <v>18</v>
      </c>
      <c r="D94" t="s">
        <v>397</v>
      </c>
      <c r="E94" t="s">
        <v>398</v>
      </c>
      <c r="F94" t="s">
        <v>13</v>
      </c>
      <c r="G94" t="s">
        <v>30</v>
      </c>
      <c r="H94" s="1" t="s">
        <v>185</v>
      </c>
      <c r="I94" t="str">
        <f>UPPER(SuperMarket[Ville])</f>
        <v>DOUALA</v>
      </c>
      <c r="J94" t="str">
        <f>UPPER(SuperMarket[Marque])</f>
        <v>SCOTCH-BRITE</v>
      </c>
      <c r="K94" s="5">
        <f>(SuperMarket[[#This Row],[Qté]]*SuperMarket[[#This Row],[Prix_Unit]])</f>
        <v>9000</v>
      </c>
      <c r="L94" s="4" t="str">
        <f>TEXT(DATE(RIGHT(SuperMarket[[#This Row],[Date]],4),MID(SuperMarket[[#This Row],[Date]],4,2),LEFT(SuperMarket[[#This Row],[Date]],2)),"mmmm")</f>
        <v>February</v>
      </c>
    </row>
    <row r="95" spans="1:12" x14ac:dyDescent="0.3">
      <c r="A95" t="s">
        <v>399</v>
      </c>
      <c r="B95" s="3" t="s">
        <v>400</v>
      </c>
      <c r="C95" t="s">
        <v>10</v>
      </c>
      <c r="D95" t="s">
        <v>401</v>
      </c>
      <c r="E95" t="s">
        <v>402</v>
      </c>
      <c r="F95" t="s">
        <v>29</v>
      </c>
      <c r="G95" t="s">
        <v>93</v>
      </c>
      <c r="H95" s="1" t="s">
        <v>143</v>
      </c>
      <c r="I95" t="str">
        <f>UPPER(SuperMarket[Ville])</f>
        <v>GAROUA</v>
      </c>
      <c r="J95" t="str">
        <f>UPPER(SuperMarket[Marque])</f>
        <v>CAMLAIT</v>
      </c>
      <c r="K95" s="5">
        <f>(SuperMarket[[#This Row],[Qté]]*SuperMarket[[#This Row],[Prix_Unit]])</f>
        <v>12000</v>
      </c>
      <c r="L95" s="4" t="str">
        <f>TEXT(DATE(RIGHT(SuperMarket[[#This Row],[Date]],4),MID(SuperMarket[[#This Row],[Date]],4,2),LEFT(SuperMarket[[#This Row],[Date]],2)),"mmmm")</f>
        <v>March</v>
      </c>
    </row>
    <row r="96" spans="1:12" x14ac:dyDescent="0.3">
      <c r="A96" t="s">
        <v>403</v>
      </c>
      <c r="B96" s="3" t="s">
        <v>404</v>
      </c>
      <c r="C96" t="s">
        <v>26</v>
      </c>
      <c r="D96" t="s">
        <v>405</v>
      </c>
      <c r="E96" t="s">
        <v>211</v>
      </c>
      <c r="F96" t="s">
        <v>37</v>
      </c>
      <c r="G96" t="s">
        <v>137</v>
      </c>
      <c r="H96" s="1" t="s">
        <v>31</v>
      </c>
      <c r="I96" t="str">
        <f>UPPER(SuperMarket[Ville])</f>
        <v>BAFOUSSAM</v>
      </c>
      <c r="J96" t="str">
        <f>UPPER(SuperMarket[Marque])</f>
        <v>SABC</v>
      </c>
      <c r="K96" s="5">
        <f>(SuperMarket[[#This Row],[Qté]]*SuperMarket[[#This Row],[Prix_Unit]])</f>
        <v>20000</v>
      </c>
      <c r="L96" s="4" t="str">
        <f>TEXT(DATE(RIGHT(SuperMarket[[#This Row],[Date]],4),MID(SuperMarket[[#This Row],[Date]],4,2),LEFT(SuperMarket[[#This Row],[Date]],2)),"mmmm")</f>
        <v>March</v>
      </c>
    </row>
    <row r="97" spans="1:12" x14ac:dyDescent="0.3">
      <c r="A97" t="s">
        <v>406</v>
      </c>
      <c r="B97" s="3" t="s">
        <v>407</v>
      </c>
      <c r="C97" t="s">
        <v>10</v>
      </c>
      <c r="D97" t="s">
        <v>408</v>
      </c>
      <c r="E97" t="s">
        <v>409</v>
      </c>
      <c r="F97" t="s">
        <v>13</v>
      </c>
      <c r="G97" t="s">
        <v>84</v>
      </c>
      <c r="H97" s="1" t="s">
        <v>166</v>
      </c>
      <c r="I97" t="str">
        <f>UPPER(SuperMarket[Ville])</f>
        <v>DOUALA</v>
      </c>
      <c r="J97" t="str">
        <f>UPPER(SuperMarket[Marque])</f>
        <v>AMORA</v>
      </c>
      <c r="K97" s="5">
        <f>(SuperMarket[[#This Row],[Qté]]*SuperMarket[[#This Row],[Prix_Unit]])</f>
        <v>8400</v>
      </c>
      <c r="L97" s="4" t="str">
        <f>TEXT(DATE(RIGHT(SuperMarket[[#This Row],[Date]],4),MID(SuperMarket[[#This Row],[Date]],4,2),LEFT(SuperMarket[[#This Row],[Date]],2)),"mmmm")</f>
        <v>March</v>
      </c>
    </row>
    <row r="98" spans="1:12" x14ac:dyDescent="0.3">
      <c r="A98" t="s">
        <v>410</v>
      </c>
      <c r="B98" s="3" t="s">
        <v>411</v>
      </c>
      <c r="C98" t="s">
        <v>34</v>
      </c>
      <c r="D98" t="s">
        <v>412</v>
      </c>
      <c r="E98" t="s">
        <v>413</v>
      </c>
      <c r="F98" t="s">
        <v>21</v>
      </c>
      <c r="G98" t="s">
        <v>44</v>
      </c>
      <c r="H98" s="1" t="s">
        <v>99</v>
      </c>
      <c r="I98" t="str">
        <f>UPPER(SuperMarket[Ville])</f>
        <v>YAOUNDÉ</v>
      </c>
      <c r="J98" t="str">
        <f>UPPER(SuperMarket[Marque])</f>
        <v>USHAÏA</v>
      </c>
      <c r="K98" s="5">
        <f>(SuperMarket[[#This Row],[Qté]]*SuperMarket[[#This Row],[Prix_Unit]])</f>
        <v>37500</v>
      </c>
      <c r="L98" s="4" t="str">
        <f>TEXT(DATE(RIGHT(SuperMarket[[#This Row],[Date]],4),MID(SuperMarket[[#This Row],[Date]],4,2),LEFT(SuperMarket[[#This Row],[Date]],2)),"mmmm")</f>
        <v>March</v>
      </c>
    </row>
    <row r="99" spans="1:12" x14ac:dyDescent="0.3">
      <c r="A99" t="s">
        <v>414</v>
      </c>
      <c r="B99" s="3" t="s">
        <v>262</v>
      </c>
      <c r="C99" t="s">
        <v>18</v>
      </c>
      <c r="D99" t="s">
        <v>415</v>
      </c>
      <c r="E99" t="s">
        <v>416</v>
      </c>
      <c r="F99" t="s">
        <v>56</v>
      </c>
      <c r="G99" t="s">
        <v>14</v>
      </c>
      <c r="H99" s="1" t="s">
        <v>104</v>
      </c>
      <c r="I99" t="str">
        <f>UPPER(SuperMarket[Ville])</f>
        <v>KRIBI</v>
      </c>
      <c r="J99" t="str">
        <f>UPPER(SuperMarket[Marque])</f>
        <v>SANITERGENT</v>
      </c>
      <c r="K99" s="5">
        <f>(SuperMarket[[#This Row],[Qté]]*SuperMarket[[#This Row],[Prix_Unit]])</f>
        <v>18000</v>
      </c>
      <c r="L99" s="4" t="str">
        <f>TEXT(DATE(RIGHT(SuperMarket[[#This Row],[Date]],4),MID(SuperMarket[[#This Row],[Date]],4,2),LEFT(SuperMarket[[#This Row],[Date]],2)),"mmmm")</f>
        <v>April</v>
      </c>
    </row>
    <row r="100" spans="1:12" x14ac:dyDescent="0.3">
      <c r="A100" t="s">
        <v>417</v>
      </c>
      <c r="B100" s="3" t="s">
        <v>265</v>
      </c>
      <c r="C100" t="s">
        <v>26</v>
      </c>
      <c r="D100" t="s">
        <v>418</v>
      </c>
      <c r="E100" t="s">
        <v>328</v>
      </c>
      <c r="F100" t="s">
        <v>29</v>
      </c>
      <c r="G100" t="s">
        <v>57</v>
      </c>
      <c r="H100" s="1" t="s">
        <v>39</v>
      </c>
      <c r="I100" t="str">
        <f>UPPER(SuperMarket[Ville])</f>
        <v>GAROUA</v>
      </c>
      <c r="J100" t="str">
        <f>UPPER(SuperMarket[Marque])</f>
        <v>TEISSEIRE</v>
      </c>
      <c r="K100" s="5">
        <f>(SuperMarket[[#This Row],[Qté]]*SuperMarket[[#This Row],[Prix_Unit]])</f>
        <v>14000</v>
      </c>
      <c r="L100" s="4" t="str">
        <f>TEXT(DATE(RIGHT(SuperMarket[[#This Row],[Date]],4),MID(SuperMarket[[#This Row],[Date]],4,2),LEFT(SuperMarket[[#This Row],[Date]],2)),"mmmm")</f>
        <v>April</v>
      </c>
    </row>
    <row r="101" spans="1:12" x14ac:dyDescent="0.3">
      <c r="A101" t="s">
        <v>419</v>
      </c>
      <c r="B101" s="3" t="s">
        <v>269</v>
      </c>
      <c r="C101" t="s">
        <v>10</v>
      </c>
      <c r="D101" t="s">
        <v>420</v>
      </c>
      <c r="E101" t="s">
        <v>421</v>
      </c>
      <c r="F101" t="s">
        <v>13</v>
      </c>
      <c r="G101" t="s">
        <v>22</v>
      </c>
      <c r="H101" s="1" t="s">
        <v>15</v>
      </c>
      <c r="I101" t="str">
        <f>UPPER(SuperMarket[Ville])</f>
        <v>DOUALA</v>
      </c>
      <c r="J101" t="str">
        <f>UPPER(SuperMarket[Marque])</f>
        <v>BORDEAU CHESNEL</v>
      </c>
      <c r="K101" s="5">
        <f>(SuperMarket[[#This Row],[Qté]]*SuperMarket[[#This Row],[Prix_Unit]])</f>
        <v>22500</v>
      </c>
      <c r="L101" s="4" t="str">
        <f>TEXT(DATE(RIGHT(SuperMarket[[#This Row],[Date]],4),MID(SuperMarket[[#This Row],[Date]],4,2),LEFT(SuperMarket[[#This Row],[Date]],2)),"mmmm")</f>
        <v>April</v>
      </c>
    </row>
    <row r="102" spans="1:12" x14ac:dyDescent="0.3">
      <c r="A102" t="s">
        <v>422</v>
      </c>
      <c r="B102" s="3" t="s">
        <v>273</v>
      </c>
      <c r="C102" t="s">
        <v>34</v>
      </c>
      <c r="D102" t="s">
        <v>423</v>
      </c>
      <c r="E102" t="s">
        <v>424</v>
      </c>
      <c r="F102" t="s">
        <v>21</v>
      </c>
      <c r="G102" t="s">
        <v>79</v>
      </c>
      <c r="H102" s="1" t="s">
        <v>425</v>
      </c>
      <c r="I102" t="str">
        <f>UPPER(SuperMarket[Ville])</f>
        <v>YAOUNDÉ</v>
      </c>
      <c r="J102" t="str">
        <f>UPPER(SuperMarket[Marque])</f>
        <v>L'OREAL</v>
      </c>
      <c r="K102" s="5">
        <f>(SuperMarket[[#This Row],[Qté]]*SuperMarket[[#This Row],[Prix_Unit]])</f>
        <v>28500</v>
      </c>
      <c r="L102" s="4" t="str">
        <f>TEXT(DATE(RIGHT(SuperMarket[[#This Row],[Date]],4),MID(SuperMarket[[#This Row],[Date]],4,2),LEFT(SuperMarket[[#This Row],[Date]],2)),"mmmm")</f>
        <v>April</v>
      </c>
    </row>
    <row r="103" spans="1:12" x14ac:dyDescent="0.3">
      <c r="A103" t="s">
        <v>426</v>
      </c>
      <c r="B103" s="3" t="s">
        <v>278</v>
      </c>
      <c r="C103" t="s">
        <v>26</v>
      </c>
      <c r="D103" t="s">
        <v>427</v>
      </c>
      <c r="E103" t="s">
        <v>428</v>
      </c>
      <c r="F103" t="s">
        <v>37</v>
      </c>
      <c r="G103" t="s">
        <v>109</v>
      </c>
      <c r="H103" s="1" t="s">
        <v>58</v>
      </c>
      <c r="I103" t="str">
        <f>UPPER(SuperMarket[Ville])</f>
        <v>BAFOUSSAM</v>
      </c>
      <c r="J103" t="str">
        <f>UPPER(SuperMarket[Marque])</f>
        <v>VITTEL</v>
      </c>
      <c r="K103" s="5">
        <f>(SuperMarket[[#This Row],[Qté]]*SuperMarket[[#This Row],[Prix_Unit]])</f>
        <v>25500</v>
      </c>
      <c r="L103" s="4" t="str">
        <f>TEXT(DATE(RIGHT(SuperMarket[[#This Row],[Date]],4),MID(SuperMarket[[#This Row],[Date]],4,2),LEFT(SuperMarket[[#This Row],[Date]],2)),"mmmm")</f>
        <v>April</v>
      </c>
    </row>
    <row r="104" spans="1:12" x14ac:dyDescent="0.3">
      <c r="A104" t="s">
        <v>429</v>
      </c>
      <c r="B104" s="3" t="s">
        <v>282</v>
      </c>
      <c r="C104" t="s">
        <v>10</v>
      </c>
      <c r="D104" t="s">
        <v>430</v>
      </c>
      <c r="E104" t="s">
        <v>431</v>
      </c>
      <c r="F104" t="s">
        <v>56</v>
      </c>
      <c r="G104" t="s">
        <v>38</v>
      </c>
      <c r="H104" s="1" t="s">
        <v>276</v>
      </c>
      <c r="I104" t="str">
        <f>UPPER(SuperMarket[Ville])</f>
        <v>KRIBI</v>
      </c>
      <c r="J104" t="str">
        <f>UPPER(SuperMarket[Marque])</f>
        <v>PUGET</v>
      </c>
      <c r="K104" s="5">
        <f>(SuperMarket[[#This Row],[Qté]]*SuperMarket[[#This Row],[Prix_Unit]])</f>
        <v>13000</v>
      </c>
      <c r="L104" s="4" t="str">
        <f>TEXT(DATE(RIGHT(SuperMarket[[#This Row],[Date]],4),MID(SuperMarket[[#This Row],[Date]],4,2),LEFT(SuperMarket[[#This Row],[Date]],2)),"mmmm")</f>
        <v>May</v>
      </c>
    </row>
    <row r="105" spans="1:12" x14ac:dyDescent="0.3">
      <c r="A105" t="s">
        <v>432</v>
      </c>
      <c r="B105" s="3" t="s">
        <v>285</v>
      </c>
      <c r="C105" t="s">
        <v>18</v>
      </c>
      <c r="D105" t="s">
        <v>433</v>
      </c>
      <c r="E105" t="s">
        <v>434</v>
      </c>
      <c r="F105" t="s">
        <v>13</v>
      </c>
      <c r="G105" t="s">
        <v>22</v>
      </c>
      <c r="H105" s="1" t="s">
        <v>435</v>
      </c>
      <c r="I105" t="str">
        <f>UPPER(SuperMarket[Ville])</f>
        <v>DOUALA</v>
      </c>
      <c r="J105" t="str">
        <f>UPPER(SuperMarket[Marque])</f>
        <v>LE CHAT</v>
      </c>
      <c r="K105" s="5">
        <f>(SuperMarket[[#This Row],[Qté]]*SuperMarket[[#This Row],[Prix_Unit]])</f>
        <v>37500</v>
      </c>
      <c r="L105" s="4" t="str">
        <f>TEXT(DATE(RIGHT(SuperMarket[[#This Row],[Date]],4),MID(SuperMarket[[#This Row],[Date]],4,2),LEFT(SuperMarket[[#This Row],[Date]],2)),"mmmm")</f>
        <v>May</v>
      </c>
    </row>
    <row r="106" spans="1:12" x14ac:dyDescent="0.3">
      <c r="A106" t="s">
        <v>436</v>
      </c>
      <c r="B106" s="3" t="s">
        <v>289</v>
      </c>
      <c r="C106" t="s">
        <v>26</v>
      </c>
      <c r="D106" t="s">
        <v>437</v>
      </c>
      <c r="E106" t="s">
        <v>211</v>
      </c>
      <c r="F106" t="s">
        <v>29</v>
      </c>
      <c r="G106" t="s">
        <v>63</v>
      </c>
      <c r="H106" s="1" t="s">
        <v>45</v>
      </c>
      <c r="I106" t="str">
        <f>UPPER(SuperMarket[Ville])</f>
        <v>GAROUA</v>
      </c>
      <c r="J106" t="str">
        <f>UPPER(SuperMarket[Marque])</f>
        <v>SABC</v>
      </c>
      <c r="K106" s="5">
        <f>(SuperMarket[[#This Row],[Qté]]*SuperMarket[[#This Row],[Prix_Unit]])</f>
        <v>14400</v>
      </c>
      <c r="L106" s="4" t="str">
        <f>TEXT(DATE(RIGHT(SuperMarket[[#This Row],[Date]],4),MID(SuperMarket[[#This Row],[Date]],4,2),LEFT(SuperMarket[[#This Row],[Date]],2)),"mmmm")</f>
        <v>May</v>
      </c>
    </row>
    <row r="107" spans="1:12" x14ac:dyDescent="0.3">
      <c r="A107" t="s">
        <v>438</v>
      </c>
      <c r="B107" s="3" t="s">
        <v>101</v>
      </c>
      <c r="C107" t="s">
        <v>10</v>
      </c>
      <c r="D107" t="s">
        <v>439</v>
      </c>
      <c r="E107" t="s">
        <v>440</v>
      </c>
      <c r="F107" t="s">
        <v>21</v>
      </c>
      <c r="G107" t="s">
        <v>50</v>
      </c>
      <c r="H107" s="1" t="s">
        <v>352</v>
      </c>
      <c r="I107" t="str">
        <f>UPPER(SuperMarket[Ville])</f>
        <v>YAOUNDÉ</v>
      </c>
      <c r="J107" t="str">
        <f>UPPER(SuperMarket[Marque])</f>
        <v>KELLOGG'S</v>
      </c>
      <c r="K107" s="5">
        <f>(SuperMarket[[#This Row],[Qté]]*SuperMarket[[#This Row],[Prix_Unit]])</f>
        <v>25600</v>
      </c>
      <c r="L107" s="4" t="str">
        <f>TEXT(DATE(RIGHT(SuperMarket[[#This Row],[Date]],4),MID(SuperMarket[[#This Row],[Date]],4,2),LEFT(SuperMarket[[#This Row],[Date]],2)),"mmmm")</f>
        <v>May</v>
      </c>
    </row>
    <row r="108" spans="1:12" x14ac:dyDescent="0.3">
      <c r="A108" t="s">
        <v>441</v>
      </c>
      <c r="B108" s="3" t="s">
        <v>106</v>
      </c>
      <c r="C108" t="s">
        <v>34</v>
      </c>
      <c r="D108" t="s">
        <v>442</v>
      </c>
      <c r="E108" t="s">
        <v>443</v>
      </c>
      <c r="F108" t="s">
        <v>37</v>
      </c>
      <c r="G108" t="s">
        <v>69</v>
      </c>
      <c r="H108" s="1" t="s">
        <v>166</v>
      </c>
      <c r="I108" t="str">
        <f>UPPER(SuperMarket[Ville])</f>
        <v>BAFOUSSAM</v>
      </c>
      <c r="J108" t="str">
        <f>UPPER(SuperMarket[Marque])</f>
        <v>PALMOLIVE</v>
      </c>
      <c r="K108" s="5">
        <f>(SuperMarket[[#This Row],[Qté]]*SuperMarket[[#This Row],[Prix_Unit]])</f>
        <v>16800</v>
      </c>
      <c r="L108" s="4" t="str">
        <f>TEXT(DATE(RIGHT(SuperMarket[[#This Row],[Date]],4),MID(SuperMarket[[#This Row],[Date]],4,2),LEFT(SuperMarket[[#This Row],[Date]],2)),"mmmm")</f>
        <v>June</v>
      </c>
    </row>
    <row r="109" spans="1:12" x14ac:dyDescent="0.3">
      <c r="A109" t="s">
        <v>444</v>
      </c>
      <c r="B109" s="3" t="s">
        <v>445</v>
      </c>
      <c r="C109" t="s">
        <v>18</v>
      </c>
      <c r="D109" t="s">
        <v>446</v>
      </c>
      <c r="E109" t="s">
        <v>189</v>
      </c>
      <c r="F109" t="s">
        <v>13</v>
      </c>
      <c r="G109" t="s">
        <v>30</v>
      </c>
      <c r="H109" s="1" t="s">
        <v>58</v>
      </c>
      <c r="I109" t="str">
        <f>UPPER(SuperMarket[Ville])</f>
        <v>DOUALA</v>
      </c>
      <c r="J109" t="str">
        <f>UPPER(SuperMarket[Marque])</f>
        <v>PROPRE</v>
      </c>
      <c r="K109" s="5">
        <f>(SuperMarket[[#This Row],[Qté]]*SuperMarket[[#This Row],[Prix_Unit]])</f>
        <v>17000</v>
      </c>
      <c r="L109" s="4" t="str">
        <f>TEXT(DATE(RIGHT(SuperMarket[[#This Row],[Date]],4),MID(SuperMarket[[#This Row],[Date]],4,2),LEFT(SuperMarket[[#This Row],[Date]],2)),"mmmm")</f>
        <v>June</v>
      </c>
    </row>
    <row r="110" spans="1:12" x14ac:dyDescent="0.3">
      <c r="A110" t="s">
        <v>447</v>
      </c>
      <c r="B110" s="3" t="s">
        <v>448</v>
      </c>
      <c r="C110" t="s">
        <v>26</v>
      </c>
      <c r="D110" t="s">
        <v>449</v>
      </c>
      <c r="E110" t="s">
        <v>450</v>
      </c>
      <c r="F110" t="s">
        <v>56</v>
      </c>
      <c r="G110" t="s">
        <v>44</v>
      </c>
      <c r="H110" s="1" t="s">
        <v>51</v>
      </c>
      <c r="I110" t="str">
        <f>UPPER(SuperMarket[Ville])</f>
        <v>KRIBI</v>
      </c>
      <c r="J110" t="str">
        <f>UPPER(SuperMarket[Marque])</f>
        <v>CERES</v>
      </c>
      <c r="K110" s="5">
        <f>(SuperMarket[[#This Row],[Qté]]*SuperMarket[[#This Row],[Prix_Unit]])</f>
        <v>16500</v>
      </c>
      <c r="L110" s="4" t="str">
        <f>TEXT(DATE(RIGHT(SuperMarket[[#This Row],[Date]],4),MID(SuperMarket[[#This Row],[Date]],4,2),LEFT(SuperMarket[[#This Row],[Date]],2)),"mmmm")</f>
        <v>June</v>
      </c>
    </row>
    <row r="111" spans="1:12" x14ac:dyDescent="0.3">
      <c r="A111" t="s">
        <v>451</v>
      </c>
      <c r="B111" s="3" t="s">
        <v>452</v>
      </c>
      <c r="C111" t="s">
        <v>10</v>
      </c>
      <c r="D111" t="s">
        <v>453</v>
      </c>
      <c r="E111" t="s">
        <v>454</v>
      </c>
      <c r="F111" t="s">
        <v>21</v>
      </c>
      <c r="G111" t="s">
        <v>84</v>
      </c>
      <c r="H111" s="1" t="s">
        <v>152</v>
      </c>
      <c r="I111" t="str">
        <f>UPPER(SuperMarket[Ville])</f>
        <v>YAOUNDÉ</v>
      </c>
      <c r="J111" t="str">
        <f>UPPER(SuperMarket[Marque])</f>
        <v>BONNE MAMAN</v>
      </c>
      <c r="K111" s="5">
        <f>(SuperMarket[[#This Row],[Qté]]*SuperMarket[[#This Row],[Prix_Unit]])</f>
        <v>13200</v>
      </c>
      <c r="L111" s="4" t="str">
        <f>TEXT(DATE(RIGHT(SuperMarket[[#This Row],[Date]],4),MID(SuperMarket[[#This Row],[Date]],4,2),LEFT(SuperMarket[[#This Row],[Date]],2)),"mmmm")</f>
        <v>June</v>
      </c>
    </row>
    <row r="112" spans="1:12" x14ac:dyDescent="0.3">
      <c r="A112" t="s">
        <v>455</v>
      </c>
      <c r="B112" s="3" t="s">
        <v>456</v>
      </c>
      <c r="C112" t="s">
        <v>26</v>
      </c>
      <c r="D112" t="s">
        <v>457</v>
      </c>
      <c r="E112" t="s">
        <v>211</v>
      </c>
      <c r="F112" t="s">
        <v>13</v>
      </c>
      <c r="G112" t="s">
        <v>63</v>
      </c>
      <c r="H112" s="1" t="s">
        <v>70</v>
      </c>
      <c r="I112" t="str">
        <f>UPPER(SuperMarket[Ville])</f>
        <v>DOUALA</v>
      </c>
      <c r="J112" t="str">
        <f>UPPER(SuperMarket[Marque])</f>
        <v>SABC</v>
      </c>
      <c r="K112" s="5">
        <f>(SuperMarket[[#This Row],[Qté]]*SuperMarket[[#This Row],[Prix_Unit]])</f>
        <v>12000</v>
      </c>
      <c r="L112" s="4" t="str">
        <f>TEXT(DATE(RIGHT(SuperMarket[[#This Row],[Date]],4),MID(SuperMarket[[#This Row],[Date]],4,2),LEFT(SuperMarket[[#This Row],[Date]],2)),"mmmm")</f>
        <v>July</v>
      </c>
    </row>
    <row r="113" spans="1:12" x14ac:dyDescent="0.3">
      <c r="A113" t="s">
        <v>458</v>
      </c>
      <c r="B113" s="3" t="s">
        <v>305</v>
      </c>
      <c r="C113" t="s">
        <v>10</v>
      </c>
      <c r="D113" t="s">
        <v>459</v>
      </c>
      <c r="E113" t="s">
        <v>460</v>
      </c>
      <c r="F113" t="s">
        <v>21</v>
      </c>
      <c r="G113" t="s">
        <v>14</v>
      </c>
      <c r="H113" s="1" t="s">
        <v>51</v>
      </c>
      <c r="I113" t="str">
        <f>UPPER(SuperMarket[Ville])</f>
        <v>YAOUNDÉ</v>
      </c>
      <c r="J113" t="str">
        <f>UPPER(SuperMarket[Marque])</f>
        <v>PETIT NAVIRE</v>
      </c>
      <c r="K113" s="5">
        <f>(SuperMarket[[#This Row],[Qté]]*SuperMarket[[#This Row],[Prix_Unit]])</f>
        <v>11000</v>
      </c>
      <c r="L113" s="4" t="str">
        <f>TEXT(DATE(RIGHT(SuperMarket[[#This Row],[Date]],4),MID(SuperMarket[[#This Row],[Date]],4,2),LEFT(SuperMarket[[#This Row],[Date]],2)),"mmmm")</f>
        <v>July</v>
      </c>
    </row>
    <row r="114" spans="1:12" x14ac:dyDescent="0.3">
      <c r="A114" t="s">
        <v>461</v>
      </c>
      <c r="B114" s="3" t="s">
        <v>309</v>
      </c>
      <c r="C114" t="s">
        <v>34</v>
      </c>
      <c r="D114" t="s">
        <v>462</v>
      </c>
      <c r="E114" t="s">
        <v>463</v>
      </c>
      <c r="F114" t="s">
        <v>29</v>
      </c>
      <c r="G114" t="s">
        <v>57</v>
      </c>
      <c r="H114" s="1" t="s">
        <v>260</v>
      </c>
      <c r="I114" t="str">
        <f>UPPER(SuperMarket[Ville])</f>
        <v>GAROUA</v>
      </c>
      <c r="J114" t="str">
        <f>UPPER(SuperMarket[Marque])</f>
        <v>PAMPERS</v>
      </c>
      <c r="K114" s="5">
        <f>(SuperMarket[[#This Row],[Qté]]*SuperMarket[[#This Row],[Prix_Unit]])</f>
        <v>34000</v>
      </c>
      <c r="L114" s="4" t="str">
        <f>TEXT(DATE(RIGHT(SuperMarket[[#This Row],[Date]],4),MID(SuperMarket[[#This Row],[Date]],4,2),LEFT(SuperMarket[[#This Row],[Date]],2)),"mmmm")</f>
        <v>July</v>
      </c>
    </row>
    <row r="115" spans="1:12" x14ac:dyDescent="0.3">
      <c r="A115" t="s">
        <v>464</v>
      </c>
      <c r="B115" s="3" t="s">
        <v>313</v>
      </c>
      <c r="C115" t="s">
        <v>18</v>
      </c>
      <c r="D115" t="s">
        <v>465</v>
      </c>
      <c r="E115" t="s">
        <v>466</v>
      </c>
      <c r="F115" t="s">
        <v>37</v>
      </c>
      <c r="G115" t="s">
        <v>44</v>
      </c>
      <c r="H115" s="1" t="s">
        <v>104</v>
      </c>
      <c r="I115" t="str">
        <f>UPPER(SuperMarket[Ville])</f>
        <v>BAFOUSSAM</v>
      </c>
      <c r="J115" t="str">
        <f>UPPER(SuperMarket[Marque])</f>
        <v>ST MARC</v>
      </c>
      <c r="K115" s="5">
        <f>(SuperMarket[[#This Row],[Qté]]*SuperMarket[[#This Row],[Prix_Unit]])</f>
        <v>27000</v>
      </c>
      <c r="L115" s="4" t="str">
        <f>TEXT(DATE(RIGHT(SuperMarket[[#This Row],[Date]],4),MID(SuperMarket[[#This Row],[Date]],4,2),LEFT(SuperMarket[[#This Row],[Date]],2)),"mmmm")</f>
        <v>July</v>
      </c>
    </row>
    <row r="116" spans="1:12" x14ac:dyDescent="0.3">
      <c r="A116" t="s">
        <v>467</v>
      </c>
      <c r="B116" s="3" t="s">
        <v>130</v>
      </c>
      <c r="C116" t="s">
        <v>26</v>
      </c>
      <c r="D116" t="s">
        <v>468</v>
      </c>
      <c r="E116" t="s">
        <v>211</v>
      </c>
      <c r="F116" t="s">
        <v>56</v>
      </c>
      <c r="G116" t="s">
        <v>69</v>
      </c>
      <c r="H116" s="1" t="s">
        <v>51</v>
      </c>
      <c r="I116" t="str">
        <f>UPPER(SuperMarket[Ville])</f>
        <v>KRIBI</v>
      </c>
      <c r="J116" t="str">
        <f>UPPER(SuperMarket[Marque])</f>
        <v>SABC</v>
      </c>
      <c r="K116" s="5">
        <f>(SuperMarket[[#This Row],[Qté]]*SuperMarket[[#This Row],[Prix_Unit]])</f>
        <v>13200</v>
      </c>
      <c r="L116" s="4" t="str">
        <f>TEXT(DATE(RIGHT(SuperMarket[[#This Row],[Date]],4),MID(SuperMarket[[#This Row],[Date]],4,2),LEFT(SuperMarket[[#This Row],[Date]],2)),"mmmm")</f>
        <v>August</v>
      </c>
    </row>
    <row r="117" spans="1:12" x14ac:dyDescent="0.3">
      <c r="A117" t="s">
        <v>469</v>
      </c>
      <c r="B117" s="3" t="s">
        <v>319</v>
      </c>
      <c r="C117" t="s">
        <v>10</v>
      </c>
      <c r="D117" t="s">
        <v>470</v>
      </c>
      <c r="E117" t="s">
        <v>471</v>
      </c>
      <c r="F117" t="s">
        <v>13</v>
      </c>
      <c r="G117" t="s">
        <v>50</v>
      </c>
      <c r="H117" s="1" t="s">
        <v>152</v>
      </c>
      <c r="I117" t="str">
        <f>UPPER(SuperMarket[Ville])</f>
        <v>DOUALA</v>
      </c>
      <c r="J117" t="str">
        <f>UPPER(SuperMarket[Marque])</f>
        <v>BARILLA</v>
      </c>
      <c r="K117" s="5">
        <f>(SuperMarket[[#This Row],[Qté]]*SuperMarket[[#This Row],[Prix_Unit]])</f>
        <v>17600</v>
      </c>
      <c r="L117" s="4" t="str">
        <f>TEXT(DATE(RIGHT(SuperMarket[[#This Row],[Date]],4),MID(SuperMarket[[#This Row],[Date]],4,2),LEFT(SuperMarket[[#This Row],[Date]],2)),"mmmm")</f>
        <v>August</v>
      </c>
    </row>
    <row r="118" spans="1:12" x14ac:dyDescent="0.3">
      <c r="A118" t="s">
        <v>472</v>
      </c>
      <c r="B118" s="3" t="s">
        <v>140</v>
      </c>
      <c r="C118" t="s">
        <v>34</v>
      </c>
      <c r="D118" t="s">
        <v>473</v>
      </c>
      <c r="E118" t="s">
        <v>474</v>
      </c>
      <c r="F118" t="s">
        <v>21</v>
      </c>
      <c r="G118" t="s">
        <v>30</v>
      </c>
      <c r="H118" s="1" t="s">
        <v>128</v>
      </c>
      <c r="I118" t="str">
        <f>UPPER(SuperMarket[Ville])</f>
        <v>YAOUNDÉ</v>
      </c>
      <c r="J118" t="str">
        <f>UPPER(SuperMarket[Marque])</f>
        <v>SIGNAL</v>
      </c>
      <c r="K118" s="5">
        <f>(SuperMarket[[#This Row],[Qté]]*SuperMarket[[#This Row],[Prix_Unit]])</f>
        <v>16000</v>
      </c>
      <c r="L118" s="4" t="str">
        <f>TEXT(DATE(RIGHT(SuperMarket[[#This Row],[Date]],4),MID(SuperMarket[[#This Row],[Date]],4,2),LEFT(SuperMarket[[#This Row],[Date]],2)),"mmmm")</f>
        <v>August</v>
      </c>
    </row>
    <row r="119" spans="1:12" x14ac:dyDescent="0.3">
      <c r="A119" t="s">
        <v>475</v>
      </c>
      <c r="B119" s="3" t="s">
        <v>145</v>
      </c>
      <c r="C119" t="s">
        <v>18</v>
      </c>
      <c r="D119" t="s">
        <v>476</v>
      </c>
      <c r="E119" t="s">
        <v>477</v>
      </c>
      <c r="F119" t="s">
        <v>29</v>
      </c>
      <c r="G119" t="s">
        <v>69</v>
      </c>
      <c r="H119" s="1" t="s">
        <v>166</v>
      </c>
      <c r="I119" t="str">
        <f>UPPER(SuperMarket[Ville])</f>
        <v>GAROUA</v>
      </c>
      <c r="J119" t="str">
        <f>UPPER(SuperMarket[Marque])</f>
        <v>HARPIC</v>
      </c>
      <c r="K119" s="5">
        <f>(SuperMarket[[#This Row],[Qté]]*SuperMarket[[#This Row],[Prix_Unit]])</f>
        <v>16800</v>
      </c>
      <c r="L119" s="4" t="str">
        <f>TEXT(DATE(RIGHT(SuperMarket[[#This Row],[Date]],4),MID(SuperMarket[[#This Row],[Date]],4,2),LEFT(SuperMarket[[#This Row],[Date]],2)),"mmmm")</f>
        <v>September</v>
      </c>
    </row>
    <row r="120" spans="1:12" x14ac:dyDescent="0.3">
      <c r="A120" t="s">
        <v>478</v>
      </c>
      <c r="B120" s="3" t="s">
        <v>331</v>
      </c>
      <c r="C120" t="s">
        <v>26</v>
      </c>
      <c r="D120" t="s">
        <v>479</v>
      </c>
      <c r="E120" t="s">
        <v>271</v>
      </c>
      <c r="F120" t="s">
        <v>37</v>
      </c>
      <c r="G120" t="s">
        <v>84</v>
      </c>
      <c r="H120" s="1" t="s">
        <v>382</v>
      </c>
      <c r="I120" t="str">
        <f>UPPER(SuperMarket[Ville])</f>
        <v>BAFOUSSAM</v>
      </c>
      <c r="J120" t="str">
        <f>UPPER(SuperMarket[Marque])</f>
        <v>RAUCH</v>
      </c>
      <c r="K120" s="5">
        <f>(SuperMarket[[#This Row],[Qté]]*SuperMarket[[#This Row],[Prix_Unit]])</f>
        <v>7800</v>
      </c>
      <c r="L120" s="4" t="str">
        <f>TEXT(DATE(RIGHT(SuperMarket[[#This Row],[Date]],4),MID(SuperMarket[[#This Row],[Date]],4,2),LEFT(SuperMarket[[#This Row],[Date]],2)),"mmmm")</f>
        <v>September</v>
      </c>
    </row>
    <row r="121" spans="1:12" x14ac:dyDescent="0.3">
      <c r="A121" t="s">
        <v>480</v>
      </c>
      <c r="B121" s="3" t="s">
        <v>481</v>
      </c>
      <c r="C121" t="s">
        <v>10</v>
      </c>
      <c r="D121" t="s">
        <v>482</v>
      </c>
      <c r="E121" t="s">
        <v>483</v>
      </c>
      <c r="F121" t="s">
        <v>13</v>
      </c>
      <c r="G121" t="s">
        <v>14</v>
      </c>
      <c r="H121" s="1" t="s">
        <v>252</v>
      </c>
      <c r="I121" t="str">
        <f>UPPER(SuperMarket[Ville])</f>
        <v>DOUALA</v>
      </c>
      <c r="J121" t="str">
        <f>UPPER(SuperMarket[Marque])</f>
        <v>MELFOR</v>
      </c>
      <c r="K121" s="5">
        <f>(SuperMarket[[#This Row],[Qté]]*SuperMarket[[#This Row],[Prix_Unit]])</f>
        <v>9500</v>
      </c>
      <c r="L121" s="4" t="str">
        <f>TEXT(DATE(RIGHT(SuperMarket[[#This Row],[Date]],4),MID(SuperMarket[[#This Row],[Date]],4,2),LEFT(SuperMarket[[#This Row],[Date]],2)),"mmmm")</f>
        <v>September</v>
      </c>
    </row>
    <row r="122" spans="1:12" x14ac:dyDescent="0.3">
      <c r="A122" t="s">
        <v>484</v>
      </c>
      <c r="B122" s="3" t="s">
        <v>339</v>
      </c>
      <c r="C122" t="s">
        <v>34</v>
      </c>
      <c r="D122" t="s">
        <v>485</v>
      </c>
      <c r="E122" t="s">
        <v>443</v>
      </c>
      <c r="F122" t="s">
        <v>56</v>
      </c>
      <c r="G122" t="s">
        <v>22</v>
      </c>
      <c r="H122" s="1" t="s">
        <v>175</v>
      </c>
      <c r="I122" t="str">
        <f>UPPER(SuperMarket[Ville])</f>
        <v>KRIBI</v>
      </c>
      <c r="J122" t="str">
        <f>UPPER(SuperMarket[Marque])</f>
        <v>PALMOLIVE</v>
      </c>
      <c r="K122" s="5">
        <f>(SuperMarket[[#This Row],[Qté]]*SuperMarket[[#This Row],[Prix_Unit]])</f>
        <v>14000</v>
      </c>
      <c r="L122" s="4" t="str">
        <f>TEXT(DATE(RIGHT(SuperMarket[[#This Row],[Date]],4),MID(SuperMarket[[#This Row],[Date]],4,2),LEFT(SuperMarket[[#This Row],[Date]],2)),"mmmm")</f>
        <v>September</v>
      </c>
    </row>
    <row r="123" spans="1:12" x14ac:dyDescent="0.3">
      <c r="A123" t="s">
        <v>486</v>
      </c>
      <c r="B123" s="3" t="s">
        <v>158</v>
      </c>
      <c r="C123" t="s">
        <v>26</v>
      </c>
      <c r="D123" t="s">
        <v>487</v>
      </c>
      <c r="E123" t="s">
        <v>488</v>
      </c>
      <c r="F123" t="s">
        <v>21</v>
      </c>
      <c r="G123" t="s">
        <v>57</v>
      </c>
      <c r="H123" s="1" t="s">
        <v>99</v>
      </c>
      <c r="I123" t="str">
        <f>UPPER(SuperMarket[Ville])</f>
        <v>YAOUNDÉ</v>
      </c>
      <c r="J123" t="str">
        <f>UPPER(SuperMarket[Marque])</f>
        <v>SIROP SPORT</v>
      </c>
      <c r="K123" s="5">
        <f>(SuperMarket[[#This Row],[Qté]]*SuperMarket[[#This Row],[Prix_Unit]])</f>
        <v>10000</v>
      </c>
      <c r="L123" s="4" t="str">
        <f>TEXT(DATE(RIGHT(SuperMarket[[#This Row],[Date]],4),MID(SuperMarket[[#This Row],[Date]],4,2),LEFT(SuperMarket[[#This Row],[Date]],2)),"mmmm")</f>
        <v>October</v>
      </c>
    </row>
    <row r="124" spans="1:12" x14ac:dyDescent="0.3">
      <c r="A124" t="s">
        <v>489</v>
      </c>
      <c r="B124" s="3" t="s">
        <v>346</v>
      </c>
      <c r="C124" t="s">
        <v>10</v>
      </c>
      <c r="D124" t="s">
        <v>490</v>
      </c>
      <c r="E124" t="s">
        <v>491</v>
      </c>
      <c r="F124" t="s">
        <v>29</v>
      </c>
      <c r="G124" t="s">
        <v>109</v>
      </c>
      <c r="H124" s="1" t="s">
        <v>45</v>
      </c>
      <c r="I124" t="str">
        <f>UPPER(SuperMarket[Ville])</f>
        <v>GAROUA</v>
      </c>
      <c r="J124" t="str">
        <f>UPPER(SuperMarket[Marque])</f>
        <v>DUCROS</v>
      </c>
      <c r="K124" s="5">
        <f>(SuperMarket[[#This Row],[Qté]]*SuperMarket[[#This Row],[Prix_Unit]])</f>
        <v>18000</v>
      </c>
      <c r="L124" s="4" t="str">
        <f>TEXT(DATE(RIGHT(SuperMarket[[#This Row],[Date]],4),MID(SuperMarket[[#This Row],[Date]],4,2),LEFT(SuperMarket[[#This Row],[Date]],2)),"mmmm")</f>
        <v>October</v>
      </c>
    </row>
    <row r="125" spans="1:12" x14ac:dyDescent="0.3">
      <c r="A125" t="s">
        <v>492</v>
      </c>
      <c r="B125" s="3" t="s">
        <v>168</v>
      </c>
      <c r="C125" t="s">
        <v>18</v>
      </c>
      <c r="D125" t="s">
        <v>493</v>
      </c>
      <c r="E125" t="s">
        <v>494</v>
      </c>
      <c r="F125" t="s">
        <v>37</v>
      </c>
      <c r="G125" t="s">
        <v>50</v>
      </c>
      <c r="H125" s="1" t="s">
        <v>23</v>
      </c>
      <c r="I125" t="str">
        <f>UPPER(SuperMarket[Ville])</f>
        <v>BAFOUSSAM</v>
      </c>
      <c r="J125" t="str">
        <f>UPPER(SuperMarket[Marque])</f>
        <v>MONSAVON</v>
      </c>
      <c r="K125" s="5">
        <f>(SuperMarket[[#This Row],[Qté]]*SuperMarket[[#This Row],[Prix_Unit]])</f>
        <v>9600</v>
      </c>
      <c r="L125" s="4" t="str">
        <f>TEXT(DATE(RIGHT(SuperMarket[[#This Row],[Date]],4),MID(SuperMarket[[#This Row],[Date]],4,2),LEFT(SuperMarket[[#This Row],[Date]],2)),"mmmm")</f>
        <v>October</v>
      </c>
    </row>
    <row r="126" spans="1:12" x14ac:dyDescent="0.3">
      <c r="A126" t="s">
        <v>495</v>
      </c>
      <c r="B126" s="3" t="s">
        <v>172</v>
      </c>
      <c r="C126" t="s">
        <v>26</v>
      </c>
      <c r="D126" t="s">
        <v>427</v>
      </c>
      <c r="E126" t="s">
        <v>247</v>
      </c>
      <c r="F126" t="s">
        <v>13</v>
      </c>
      <c r="G126" t="s">
        <v>244</v>
      </c>
      <c r="H126" s="1" t="s">
        <v>138</v>
      </c>
      <c r="I126" t="str">
        <f>UPPER(SuperMarket[Ville])</f>
        <v>DOUALA</v>
      </c>
      <c r="J126" t="str">
        <f>UPPER(SuperMarket[Marque])</f>
        <v>SUPERMONT</v>
      </c>
      <c r="K126" s="5">
        <f>(SuperMarket[[#This Row],[Qté]]*SuperMarket[[#This Row],[Prix_Unit]])</f>
        <v>25000</v>
      </c>
      <c r="L126" s="4" t="str">
        <f>TEXT(DATE(RIGHT(SuperMarket[[#This Row],[Date]],4),MID(SuperMarket[[#This Row],[Date]],4,2),LEFT(SuperMarket[[#This Row],[Date]],2)),"mmmm")</f>
        <v>November</v>
      </c>
    </row>
    <row r="127" spans="1:12" x14ac:dyDescent="0.3">
      <c r="A127" t="s">
        <v>496</v>
      </c>
      <c r="B127" s="3" t="s">
        <v>497</v>
      </c>
      <c r="C127" t="s">
        <v>10</v>
      </c>
      <c r="D127" t="s">
        <v>498</v>
      </c>
      <c r="E127" t="s">
        <v>499</v>
      </c>
      <c r="F127" t="s">
        <v>21</v>
      </c>
      <c r="G127" t="s">
        <v>30</v>
      </c>
      <c r="H127" s="1" t="s">
        <v>39</v>
      </c>
      <c r="I127" t="str">
        <f>UPPER(SuperMarket[Ville])</f>
        <v>YAOUNDÉ</v>
      </c>
      <c r="J127" t="str">
        <f>UPPER(SuperMarket[Marque])</f>
        <v>CIGALE</v>
      </c>
      <c r="K127" s="5">
        <f>(SuperMarket[[#This Row],[Qté]]*SuperMarket[[#This Row],[Prix_Unit]])</f>
        <v>70000</v>
      </c>
      <c r="L127" s="4" t="str">
        <f>TEXT(DATE(RIGHT(SuperMarket[[#This Row],[Date]],4),MID(SuperMarket[[#This Row],[Date]],4,2),LEFT(SuperMarket[[#This Row],[Date]],2)),"mmmm")</f>
        <v>November</v>
      </c>
    </row>
    <row r="128" spans="1:12" x14ac:dyDescent="0.3">
      <c r="A128" t="s">
        <v>500</v>
      </c>
      <c r="B128" s="3" t="s">
        <v>501</v>
      </c>
      <c r="C128" t="s">
        <v>34</v>
      </c>
      <c r="D128" t="s">
        <v>502</v>
      </c>
      <c r="E128" t="s">
        <v>503</v>
      </c>
      <c r="F128" t="s">
        <v>56</v>
      </c>
      <c r="G128" t="s">
        <v>44</v>
      </c>
      <c r="H128" s="1" t="s">
        <v>51</v>
      </c>
      <c r="I128" t="str">
        <f>UPPER(SuperMarket[Ville])</f>
        <v>KRIBI</v>
      </c>
      <c r="J128" t="str">
        <f>UPPER(SuperMarket[Marque])</f>
        <v>DETTOL</v>
      </c>
      <c r="K128" s="5">
        <f>(SuperMarket[[#This Row],[Qté]]*SuperMarket[[#This Row],[Prix_Unit]])</f>
        <v>16500</v>
      </c>
      <c r="L128" s="4" t="str">
        <f>TEXT(DATE(RIGHT(SuperMarket[[#This Row],[Date]],4),MID(SuperMarket[[#This Row],[Date]],4,2),LEFT(SuperMarket[[#This Row],[Date]],2)),"mmmm")</f>
        <v>November</v>
      </c>
    </row>
    <row r="129" spans="1:12" x14ac:dyDescent="0.3">
      <c r="A129" t="s">
        <v>504</v>
      </c>
      <c r="B129" s="3" t="s">
        <v>182</v>
      </c>
      <c r="C129" t="s">
        <v>18</v>
      </c>
      <c r="D129" t="s">
        <v>505</v>
      </c>
      <c r="E129" t="s">
        <v>506</v>
      </c>
      <c r="F129" t="s">
        <v>29</v>
      </c>
      <c r="G129" t="s">
        <v>69</v>
      </c>
      <c r="H129" s="1" t="s">
        <v>216</v>
      </c>
      <c r="I129" t="str">
        <f>UPPER(SuperMarket[Ville])</f>
        <v>GAROUA</v>
      </c>
      <c r="J129" t="str">
        <f>UPPER(SuperMarket[Marque])</f>
        <v>ALBAL</v>
      </c>
      <c r="K129" s="5">
        <f>(SuperMarket[[#This Row],[Qté]]*SuperMarket[[#This Row],[Prix_Unit]])</f>
        <v>18000</v>
      </c>
      <c r="L129" s="4" t="str">
        <f>TEXT(DATE(RIGHT(SuperMarket[[#This Row],[Date]],4),MID(SuperMarket[[#This Row],[Date]],4,2),LEFT(SuperMarket[[#This Row],[Date]],2)),"mmmm")</f>
        <v>November</v>
      </c>
    </row>
    <row r="130" spans="1:12" x14ac:dyDescent="0.3">
      <c r="A130" t="s">
        <v>507</v>
      </c>
      <c r="B130" s="3" t="s">
        <v>187</v>
      </c>
      <c r="C130" t="s">
        <v>26</v>
      </c>
      <c r="D130" t="s">
        <v>508</v>
      </c>
      <c r="E130" t="s">
        <v>509</v>
      </c>
      <c r="F130" t="s">
        <v>13</v>
      </c>
      <c r="G130" t="s">
        <v>69</v>
      </c>
      <c r="H130" s="1" t="s">
        <v>276</v>
      </c>
      <c r="I130" t="str">
        <f>UPPER(SuperMarket[Ville])</f>
        <v>DOUALA</v>
      </c>
      <c r="J130" t="str">
        <f>UPPER(SuperMarket[Marque])</f>
        <v>JP CHENET</v>
      </c>
      <c r="K130" s="5">
        <f>(SuperMarket[[#This Row],[Qté]]*SuperMarket[[#This Row],[Prix_Unit]])</f>
        <v>78000</v>
      </c>
      <c r="L130" s="4" t="str">
        <f>TEXT(DATE(RIGHT(SuperMarket[[#This Row],[Date]],4),MID(SuperMarket[[#This Row],[Date]],4,2),LEFT(SuperMarket[[#This Row],[Date]],2)),"mmmm")</f>
        <v>December</v>
      </c>
    </row>
    <row r="131" spans="1:12" x14ac:dyDescent="0.3">
      <c r="A131" t="s">
        <v>510</v>
      </c>
      <c r="B131" s="3" t="s">
        <v>511</v>
      </c>
      <c r="C131" t="s">
        <v>10</v>
      </c>
      <c r="D131" t="s">
        <v>512</v>
      </c>
      <c r="E131" t="s">
        <v>513</v>
      </c>
      <c r="F131" t="s">
        <v>37</v>
      </c>
      <c r="G131" t="s">
        <v>14</v>
      </c>
      <c r="H131" s="1" t="s">
        <v>514</v>
      </c>
      <c r="I131" t="str">
        <f>UPPER(SuperMarket[Ville])</f>
        <v>BAFOUSSAM</v>
      </c>
      <c r="J131" t="str">
        <f>UPPER(SuperMarket[Marque])</f>
        <v>LESIEUR</v>
      </c>
      <c r="K131" s="5">
        <f>(SuperMarket[[#This Row],[Qté]]*SuperMarket[[#This Row],[Prix_Unit]])</f>
        <v>24000</v>
      </c>
      <c r="L131" s="4" t="str">
        <f>TEXT(DATE(RIGHT(SuperMarket[[#This Row],[Date]],4),MID(SuperMarket[[#This Row],[Date]],4,2),LEFT(SuperMarket[[#This Row],[Date]],2)),"mmmm")</f>
        <v>December</v>
      </c>
    </row>
    <row r="132" spans="1:12" x14ac:dyDescent="0.3">
      <c r="A132" t="s">
        <v>515</v>
      </c>
      <c r="B132" s="3" t="s">
        <v>516</v>
      </c>
      <c r="C132" t="s">
        <v>26</v>
      </c>
      <c r="D132" t="s">
        <v>517</v>
      </c>
      <c r="E132" t="s">
        <v>211</v>
      </c>
      <c r="F132" t="s">
        <v>21</v>
      </c>
      <c r="G132" t="s">
        <v>63</v>
      </c>
      <c r="H132" s="1" t="s">
        <v>64</v>
      </c>
      <c r="I132" t="str">
        <f>UPPER(SuperMarket[Ville])</f>
        <v>YAOUNDÉ</v>
      </c>
      <c r="J132" t="str">
        <f>UPPER(SuperMarket[Marque])</f>
        <v>SABC</v>
      </c>
      <c r="K132" s="5">
        <f>(SuperMarket[[#This Row],[Qté]]*SuperMarket[[#This Row],[Prix_Unit]])</f>
        <v>15600</v>
      </c>
      <c r="L132" s="4" t="str">
        <f>TEXT(DATE(RIGHT(SuperMarket[[#This Row],[Date]],4),MID(SuperMarket[[#This Row],[Date]],4,2),LEFT(SuperMarket[[#This Row],[Date]],2)),"mmmm")</f>
        <v>December</v>
      </c>
    </row>
    <row r="133" spans="1:12" x14ac:dyDescent="0.3">
      <c r="A133" t="s">
        <v>518</v>
      </c>
      <c r="B133" s="3" t="s">
        <v>519</v>
      </c>
      <c r="C133" t="s">
        <v>10</v>
      </c>
      <c r="D133" t="s">
        <v>520</v>
      </c>
      <c r="E133" t="s">
        <v>521</v>
      </c>
      <c r="F133" t="s">
        <v>13</v>
      </c>
      <c r="G133" t="s">
        <v>22</v>
      </c>
      <c r="H133" s="1" t="s">
        <v>260</v>
      </c>
      <c r="I133" t="str">
        <f>UPPER(SuperMarket[Ville])</f>
        <v>DOUALA</v>
      </c>
      <c r="J133" t="str">
        <f>UPPER(SuperMarket[Marque])</f>
        <v>FERRERO</v>
      </c>
      <c r="K133" s="5">
        <f>(SuperMarket[[#This Row],[Qté]]*SuperMarket[[#This Row],[Prix_Unit]])</f>
        <v>42500</v>
      </c>
      <c r="L133" s="4" t="str">
        <f>TEXT(DATE(RIGHT(SuperMarket[[#This Row],[Date]],4),MID(SuperMarket[[#This Row],[Date]],4,2),LEFT(SuperMarket[[#This Row],[Date]],2)),"mmmm")</f>
        <v>December</v>
      </c>
    </row>
    <row r="134" spans="1:12" x14ac:dyDescent="0.3">
      <c r="A134" t="s">
        <v>522</v>
      </c>
      <c r="B134" s="3" t="s">
        <v>201</v>
      </c>
      <c r="C134" t="s">
        <v>26</v>
      </c>
      <c r="D134" t="s">
        <v>523</v>
      </c>
      <c r="E134" t="s">
        <v>524</v>
      </c>
      <c r="F134" t="s">
        <v>56</v>
      </c>
      <c r="G134" t="s">
        <v>194</v>
      </c>
      <c r="H134" s="1" t="s">
        <v>195</v>
      </c>
      <c r="I134" t="str">
        <f>UPPER(SuperMarket[Ville])</f>
        <v>KRIBI</v>
      </c>
      <c r="J134" t="str">
        <f>UPPER(SuperMarket[Marque])</f>
        <v>GLENFIDDICH</v>
      </c>
      <c r="K134" s="5">
        <f>(SuperMarket[[#This Row],[Qté]]*SuperMarket[[#This Row],[Prix_Unit]])</f>
        <v>45000</v>
      </c>
      <c r="L134" s="4" t="str">
        <f>TEXT(DATE(RIGHT(SuperMarket[[#This Row],[Date]],4),MID(SuperMarket[[#This Row],[Date]],4,2),LEFT(SuperMarket[[#This Row],[Date]],2)),"mmmm")</f>
        <v>December</v>
      </c>
    </row>
    <row r="135" spans="1:12" x14ac:dyDescent="0.3">
      <c r="A135" t="s">
        <v>525</v>
      </c>
      <c r="B135" s="3" t="s">
        <v>526</v>
      </c>
      <c r="C135" t="s">
        <v>18</v>
      </c>
      <c r="D135" t="s">
        <v>527</v>
      </c>
      <c r="E135" t="s">
        <v>325</v>
      </c>
      <c r="F135" t="s">
        <v>29</v>
      </c>
      <c r="G135" t="s">
        <v>44</v>
      </c>
      <c r="H135" s="1" t="s">
        <v>23</v>
      </c>
      <c r="I135" t="str">
        <f>UPPER(SuperMarket[Ville])</f>
        <v>GAROUA</v>
      </c>
      <c r="J135" t="str">
        <f>UPPER(SuperMarket[Marque])</f>
        <v>OKI</v>
      </c>
      <c r="K135" s="5">
        <f>(SuperMarket[[#This Row],[Qté]]*SuperMarket[[#This Row],[Prix_Unit]])</f>
        <v>18000</v>
      </c>
      <c r="L135" s="4" t="str">
        <f>TEXT(DATE(RIGHT(SuperMarket[[#This Row],[Date]],4),MID(SuperMarket[[#This Row],[Date]],4,2),LEFT(SuperMarket[[#This Row],[Date]],2)),"mmmm")</f>
        <v>December</v>
      </c>
    </row>
    <row r="136" spans="1:12" x14ac:dyDescent="0.3">
      <c r="A136" t="s">
        <v>528</v>
      </c>
      <c r="B136" s="3" t="s">
        <v>529</v>
      </c>
      <c r="C136" t="s">
        <v>26</v>
      </c>
      <c r="D136" t="s">
        <v>530</v>
      </c>
      <c r="E136" t="s">
        <v>531</v>
      </c>
      <c r="F136" t="s">
        <v>13</v>
      </c>
      <c r="G136" t="s">
        <v>38</v>
      </c>
      <c r="H136" s="1" t="s">
        <v>204</v>
      </c>
      <c r="I136" t="str">
        <f>UPPER(SuperMarket[Ville])</f>
        <v>DOUALA</v>
      </c>
      <c r="J136" t="str">
        <f>UPPER(SuperMarket[Marque])</f>
        <v>LAURENT PERRIER</v>
      </c>
      <c r="K136" s="5">
        <f>(SuperMarket[[#This Row],[Qté]]*SuperMarket[[#This Row],[Prix_Unit]])</f>
        <v>110000</v>
      </c>
      <c r="L136" s="4" t="str">
        <f>TEXT(DATE(RIGHT(SuperMarket[[#This Row],[Date]],4),MID(SuperMarket[[#This Row],[Date]],4,2),LEFT(SuperMarket[[#This Row],[Date]],2)),"mmmm")</f>
        <v>December</v>
      </c>
    </row>
    <row r="137" spans="1:12" x14ac:dyDescent="0.3">
      <c r="A137" t="s">
        <v>532</v>
      </c>
      <c r="B137" s="3" t="s">
        <v>9</v>
      </c>
      <c r="C137" t="s">
        <v>10</v>
      </c>
      <c r="D137" t="s">
        <v>533</v>
      </c>
      <c r="E137" t="s">
        <v>291</v>
      </c>
      <c r="F137" t="s">
        <v>13</v>
      </c>
      <c r="G137" t="s">
        <v>118</v>
      </c>
      <c r="H137" s="1" t="s">
        <v>23</v>
      </c>
      <c r="I137" t="str">
        <f>UPPER(SuperMarket[Ville])</f>
        <v>DOUALA</v>
      </c>
      <c r="J137" t="str">
        <f>UPPER(SuperMarket[Marque])</f>
        <v>LIPTON</v>
      </c>
      <c r="K137" s="5">
        <f>(SuperMarket[[#This Row],[Qté]]*SuperMarket[[#This Row],[Prix_Unit]])</f>
        <v>30000</v>
      </c>
      <c r="L137" s="4" t="str">
        <f>TEXT(DATE(RIGHT(SuperMarket[[#This Row],[Date]],4),MID(SuperMarket[[#This Row],[Date]],4,2),LEFT(SuperMarket[[#This Row],[Date]],2)),"mmmm")</f>
        <v>January</v>
      </c>
    </row>
    <row r="138" spans="1:12" x14ac:dyDescent="0.3">
      <c r="A138" t="s">
        <v>534</v>
      </c>
      <c r="B138" s="3" t="s">
        <v>17</v>
      </c>
      <c r="C138" t="s">
        <v>34</v>
      </c>
      <c r="D138" t="s">
        <v>462</v>
      </c>
      <c r="E138" t="s">
        <v>463</v>
      </c>
      <c r="F138" t="s">
        <v>21</v>
      </c>
      <c r="G138" t="s">
        <v>22</v>
      </c>
      <c r="H138" s="1" t="s">
        <v>260</v>
      </c>
      <c r="I138" t="str">
        <f>UPPER(SuperMarket[Ville])</f>
        <v>YAOUNDÉ</v>
      </c>
      <c r="J138" t="str">
        <f>UPPER(SuperMarket[Marque])</f>
        <v>PAMPERS</v>
      </c>
      <c r="K138" s="5">
        <f>(SuperMarket[[#This Row],[Qté]]*SuperMarket[[#This Row],[Prix_Unit]])</f>
        <v>42500</v>
      </c>
      <c r="L138" s="4" t="str">
        <f>TEXT(DATE(RIGHT(SuperMarket[[#This Row],[Date]],4),MID(SuperMarket[[#This Row],[Date]],4,2),LEFT(SuperMarket[[#This Row],[Date]],2)),"mmmm")</f>
        <v>January</v>
      </c>
    </row>
    <row r="139" spans="1:12" x14ac:dyDescent="0.3">
      <c r="A139" t="s">
        <v>535</v>
      </c>
      <c r="B139" s="3" t="s">
        <v>380</v>
      </c>
      <c r="C139" t="s">
        <v>26</v>
      </c>
      <c r="D139" t="s">
        <v>479</v>
      </c>
      <c r="E139" t="s">
        <v>271</v>
      </c>
      <c r="F139" t="s">
        <v>29</v>
      </c>
      <c r="G139" t="s">
        <v>69</v>
      </c>
      <c r="H139" s="1" t="s">
        <v>382</v>
      </c>
      <c r="I139" t="str">
        <f>UPPER(SuperMarket[Ville])</f>
        <v>GAROUA</v>
      </c>
      <c r="J139" t="str">
        <f>UPPER(SuperMarket[Marque])</f>
        <v>RAUCH</v>
      </c>
      <c r="K139" s="5">
        <f>(SuperMarket[[#This Row],[Qté]]*SuperMarket[[#This Row],[Prix_Unit]])</f>
        <v>15600</v>
      </c>
      <c r="L139" s="4" t="str">
        <f>TEXT(DATE(RIGHT(SuperMarket[[#This Row],[Date]],4),MID(SuperMarket[[#This Row],[Date]],4,2),LEFT(SuperMarket[[#This Row],[Date]],2)),"mmmm")</f>
        <v>January</v>
      </c>
    </row>
    <row r="140" spans="1:12" x14ac:dyDescent="0.3">
      <c r="A140" t="s">
        <v>536</v>
      </c>
      <c r="B140" s="3" t="s">
        <v>224</v>
      </c>
      <c r="C140" t="s">
        <v>18</v>
      </c>
      <c r="D140" t="s">
        <v>493</v>
      </c>
      <c r="E140" t="s">
        <v>494</v>
      </c>
      <c r="F140" t="s">
        <v>37</v>
      </c>
      <c r="G140" t="s">
        <v>50</v>
      </c>
      <c r="H140" s="1" t="s">
        <v>216</v>
      </c>
      <c r="I140" t="str">
        <f>UPPER(SuperMarket[Ville])</f>
        <v>BAFOUSSAM</v>
      </c>
      <c r="J140" t="str">
        <f>UPPER(SuperMarket[Marque])</f>
        <v>MONSAVON</v>
      </c>
      <c r="K140" s="5">
        <f>(SuperMarket[[#This Row],[Qté]]*SuperMarket[[#This Row],[Prix_Unit]])</f>
        <v>12000</v>
      </c>
      <c r="L140" s="4" t="str">
        <f>TEXT(DATE(RIGHT(SuperMarket[[#This Row],[Date]],4),MID(SuperMarket[[#This Row],[Date]],4,2),LEFT(SuperMarket[[#This Row],[Date]],2)),"mmmm")</f>
        <v>January</v>
      </c>
    </row>
    <row r="141" spans="1:12" x14ac:dyDescent="0.3">
      <c r="A141" t="s">
        <v>537</v>
      </c>
      <c r="B141" s="3" t="s">
        <v>41</v>
      </c>
      <c r="C141" t="s">
        <v>10</v>
      </c>
      <c r="D141" t="s">
        <v>453</v>
      </c>
      <c r="E141" t="s">
        <v>454</v>
      </c>
      <c r="F141" t="s">
        <v>13</v>
      </c>
      <c r="G141" t="s">
        <v>14</v>
      </c>
      <c r="H141" s="1" t="s">
        <v>152</v>
      </c>
      <c r="I141" t="str">
        <f>UPPER(SuperMarket[Ville])</f>
        <v>DOUALA</v>
      </c>
      <c r="J141" t="str">
        <f>UPPER(SuperMarket[Marque])</f>
        <v>BONNE MAMAN</v>
      </c>
      <c r="K141" s="5">
        <f>(SuperMarket[[#This Row],[Qté]]*SuperMarket[[#This Row],[Prix_Unit]])</f>
        <v>22000</v>
      </c>
      <c r="L141" s="4" t="str">
        <f>TEXT(DATE(RIGHT(SuperMarket[[#This Row],[Date]],4),MID(SuperMarket[[#This Row],[Date]],4,2),LEFT(SuperMarket[[#This Row],[Date]],2)),"mmmm")</f>
        <v>February</v>
      </c>
    </row>
    <row r="142" spans="1:12" x14ac:dyDescent="0.3">
      <c r="A142" t="s">
        <v>538</v>
      </c>
      <c r="B142" s="3" t="s">
        <v>230</v>
      </c>
      <c r="C142" t="s">
        <v>26</v>
      </c>
      <c r="D142" t="s">
        <v>91</v>
      </c>
      <c r="E142" t="s">
        <v>92</v>
      </c>
      <c r="F142" t="s">
        <v>56</v>
      </c>
      <c r="G142" t="s">
        <v>539</v>
      </c>
      <c r="H142" s="1" t="s">
        <v>94</v>
      </c>
      <c r="I142" t="str">
        <f>UPPER(SuperMarket[Ville])</f>
        <v>KRIBI</v>
      </c>
      <c r="J142" t="str">
        <f>UPPER(SuperMarket[Marque])</f>
        <v>SEME</v>
      </c>
      <c r="K142" s="5">
        <f>(SuperMarket[[#This Row],[Qté]]*SuperMarket[[#This Row],[Prix_Unit]])</f>
        <v>21000</v>
      </c>
      <c r="L142" s="4" t="str">
        <f>TEXT(DATE(RIGHT(SuperMarket[[#This Row],[Date]],4),MID(SuperMarket[[#This Row],[Date]],4,2),LEFT(SuperMarket[[#This Row],[Date]],2)),"mmmm")</f>
        <v>February</v>
      </c>
    </row>
    <row r="143" spans="1:12" x14ac:dyDescent="0.3">
      <c r="A143" t="s">
        <v>540</v>
      </c>
      <c r="B143" s="3" t="s">
        <v>392</v>
      </c>
      <c r="C143" t="s">
        <v>34</v>
      </c>
      <c r="D143" t="s">
        <v>373</v>
      </c>
      <c r="E143" t="s">
        <v>98</v>
      </c>
      <c r="F143" t="s">
        <v>21</v>
      </c>
      <c r="G143" t="s">
        <v>44</v>
      </c>
      <c r="H143" s="1" t="s">
        <v>152</v>
      </c>
      <c r="I143" t="str">
        <f>UPPER(SuperMarket[Ville])</f>
        <v>YAOUNDÉ</v>
      </c>
      <c r="J143" t="str">
        <f>UPPER(SuperMarket[Marque])</f>
        <v>DOVE</v>
      </c>
      <c r="K143" s="5">
        <f>(SuperMarket[[#This Row],[Qté]]*SuperMarket[[#This Row],[Prix_Unit]])</f>
        <v>33000</v>
      </c>
      <c r="L143" s="4" t="str">
        <f>TEXT(DATE(RIGHT(SuperMarket[[#This Row],[Date]],4),MID(SuperMarket[[#This Row],[Date]],4,2),LEFT(SuperMarket[[#This Row],[Date]],2)),"mmmm")</f>
        <v>February</v>
      </c>
    </row>
    <row r="144" spans="1:12" x14ac:dyDescent="0.3">
      <c r="A144" t="s">
        <v>541</v>
      </c>
      <c r="B144" s="3" t="s">
        <v>396</v>
      </c>
      <c r="C144" t="s">
        <v>18</v>
      </c>
      <c r="D144" t="s">
        <v>324</v>
      </c>
      <c r="E144" t="s">
        <v>325</v>
      </c>
      <c r="F144" t="s">
        <v>13</v>
      </c>
      <c r="G144" t="s">
        <v>69</v>
      </c>
      <c r="H144" s="1" t="s">
        <v>23</v>
      </c>
      <c r="I144" t="str">
        <f>UPPER(SuperMarket[Ville])</f>
        <v>DOUALA</v>
      </c>
      <c r="J144" t="str">
        <f>UPPER(SuperMarket[Marque])</f>
        <v>OKI</v>
      </c>
      <c r="K144" s="5">
        <f>(SuperMarket[[#This Row],[Qté]]*SuperMarket[[#This Row],[Prix_Unit]])</f>
        <v>14400</v>
      </c>
      <c r="L144" s="4" t="str">
        <f>TEXT(DATE(RIGHT(SuperMarket[[#This Row],[Date]],4),MID(SuperMarket[[#This Row],[Date]],4,2),LEFT(SuperMarket[[#This Row],[Date]],2)),"mmmm")</f>
        <v>February</v>
      </c>
    </row>
    <row r="145" spans="1:12" x14ac:dyDescent="0.3">
      <c r="A145" t="s">
        <v>542</v>
      </c>
      <c r="B145" s="3" t="s">
        <v>400</v>
      </c>
      <c r="C145" t="s">
        <v>10</v>
      </c>
      <c r="D145" t="s">
        <v>361</v>
      </c>
      <c r="E145" t="s">
        <v>184</v>
      </c>
      <c r="F145" t="s">
        <v>29</v>
      </c>
      <c r="G145" t="s">
        <v>30</v>
      </c>
      <c r="H145" s="1" t="s">
        <v>58</v>
      </c>
      <c r="I145" t="str">
        <f>UPPER(SuperMarket[Ville])</f>
        <v>GAROUA</v>
      </c>
      <c r="J145" t="str">
        <f>UPPER(SuperMarket[Marque])</f>
        <v>REGINA</v>
      </c>
      <c r="K145" s="5">
        <f>(SuperMarket[[#This Row],[Qté]]*SuperMarket[[#This Row],[Prix_Unit]])</f>
        <v>17000</v>
      </c>
      <c r="L145" s="4" t="str">
        <f>TEXT(DATE(RIGHT(SuperMarket[[#This Row],[Date]],4),MID(SuperMarket[[#This Row],[Date]],4,2),LEFT(SuperMarket[[#This Row],[Date]],2)),"mmmm")</f>
        <v>March</v>
      </c>
    </row>
    <row r="146" spans="1:12" x14ac:dyDescent="0.3">
      <c r="A146" t="s">
        <v>543</v>
      </c>
      <c r="B146" s="3" t="s">
        <v>404</v>
      </c>
      <c r="C146" t="s">
        <v>26</v>
      </c>
      <c r="D146" t="s">
        <v>61</v>
      </c>
      <c r="E146" t="s">
        <v>62</v>
      </c>
      <c r="F146" t="s">
        <v>37</v>
      </c>
      <c r="G146" t="s">
        <v>317</v>
      </c>
      <c r="H146" s="1" t="s">
        <v>64</v>
      </c>
      <c r="I146" t="str">
        <f>UPPER(SuperMarket[Ville])</f>
        <v>BAFOUSSAM</v>
      </c>
      <c r="J146" t="str">
        <f>UPPER(SuperMarket[Marque])</f>
        <v>CASTEL</v>
      </c>
      <c r="K146" s="5">
        <f>(SuperMarket[[#This Row],[Qté]]*SuperMarket[[#This Row],[Prix_Unit]])</f>
        <v>31200</v>
      </c>
      <c r="L146" s="4" t="str">
        <f>TEXT(DATE(RIGHT(SuperMarket[[#This Row],[Date]],4),MID(SuperMarket[[#This Row],[Date]],4,2),LEFT(SuperMarket[[#This Row],[Date]],2)),"mmmm")</f>
        <v>March</v>
      </c>
    </row>
    <row r="147" spans="1:12" x14ac:dyDescent="0.3">
      <c r="A147" t="s">
        <v>544</v>
      </c>
      <c r="B147" s="3" t="s">
        <v>407</v>
      </c>
      <c r="C147" t="s">
        <v>10</v>
      </c>
      <c r="D147" t="s">
        <v>107</v>
      </c>
      <c r="E147" t="s">
        <v>108</v>
      </c>
      <c r="F147" t="s">
        <v>13</v>
      </c>
      <c r="G147" t="s">
        <v>109</v>
      </c>
      <c r="H147" s="1" t="s">
        <v>45</v>
      </c>
      <c r="I147" t="str">
        <f>UPPER(SuperMarket[Ville])</f>
        <v>DOUALA</v>
      </c>
      <c r="J147" t="str">
        <f>UPPER(SuperMarket[Marque])</f>
        <v>CONNETABLE</v>
      </c>
      <c r="K147" s="5">
        <f>(SuperMarket[[#This Row],[Qté]]*SuperMarket[[#This Row],[Prix_Unit]])</f>
        <v>18000</v>
      </c>
      <c r="L147" s="4" t="str">
        <f>TEXT(DATE(RIGHT(SuperMarket[[#This Row],[Date]],4),MID(SuperMarket[[#This Row],[Date]],4,2),LEFT(SuperMarket[[#This Row],[Date]],2)),"mmmm")</f>
        <v>March</v>
      </c>
    </row>
    <row r="148" spans="1:12" x14ac:dyDescent="0.3">
      <c r="A148" t="s">
        <v>545</v>
      </c>
      <c r="B148" s="3" t="s">
        <v>411</v>
      </c>
      <c r="C148" t="s">
        <v>34</v>
      </c>
      <c r="D148" t="s">
        <v>97</v>
      </c>
      <c r="E148" t="s">
        <v>394</v>
      </c>
      <c r="F148" t="s">
        <v>21</v>
      </c>
      <c r="G148" t="s">
        <v>50</v>
      </c>
      <c r="H148" s="1" t="s">
        <v>175</v>
      </c>
      <c r="I148" t="str">
        <f>UPPER(SuperMarket[Ville])</f>
        <v>YAOUNDÉ</v>
      </c>
      <c r="J148" t="str">
        <f>UPPER(SuperMarket[Marque])</f>
        <v>GARNIER</v>
      </c>
      <c r="K148" s="5">
        <f>(SuperMarket[[#This Row],[Qté]]*SuperMarket[[#This Row],[Prix_Unit]])</f>
        <v>22400</v>
      </c>
      <c r="L148" s="4" t="str">
        <f>TEXT(DATE(RIGHT(SuperMarket[[#This Row],[Date]],4),MID(SuperMarket[[#This Row],[Date]],4,2),LEFT(SuperMarket[[#This Row],[Date]],2)),"mmmm")</f>
        <v>March</v>
      </c>
    </row>
    <row r="149" spans="1:12" x14ac:dyDescent="0.3">
      <c r="A149" t="s">
        <v>546</v>
      </c>
      <c r="B149" s="3" t="s">
        <v>262</v>
      </c>
      <c r="C149" t="s">
        <v>18</v>
      </c>
      <c r="D149" t="s">
        <v>547</v>
      </c>
      <c r="E149" t="s">
        <v>189</v>
      </c>
      <c r="F149" t="s">
        <v>56</v>
      </c>
      <c r="G149" t="s">
        <v>30</v>
      </c>
      <c r="H149" s="1" t="s">
        <v>23</v>
      </c>
      <c r="I149" t="str">
        <f>UPPER(SuperMarket[Ville])</f>
        <v>KRIBI</v>
      </c>
      <c r="J149" t="str">
        <f>UPPER(SuperMarket[Marque])</f>
        <v>PROPRE</v>
      </c>
      <c r="K149" s="5">
        <f>(SuperMarket[[#This Row],[Qté]]*SuperMarket[[#This Row],[Prix_Unit]])</f>
        <v>24000</v>
      </c>
      <c r="L149" s="4" t="str">
        <f>TEXT(DATE(RIGHT(SuperMarket[[#This Row],[Date]],4),MID(SuperMarket[[#This Row],[Date]],4,2),LEFT(SuperMarket[[#This Row],[Date]],2)),"mmmm")</f>
        <v>April</v>
      </c>
    </row>
    <row r="150" spans="1:12" x14ac:dyDescent="0.3">
      <c r="A150" t="s">
        <v>548</v>
      </c>
      <c r="B150" s="3" t="s">
        <v>265</v>
      </c>
      <c r="C150" t="s">
        <v>26</v>
      </c>
      <c r="D150" t="s">
        <v>77</v>
      </c>
      <c r="E150" t="s">
        <v>78</v>
      </c>
      <c r="F150" t="s">
        <v>29</v>
      </c>
      <c r="G150" t="s">
        <v>84</v>
      </c>
      <c r="H150" s="1" t="s">
        <v>15</v>
      </c>
      <c r="I150" t="str">
        <f>UPPER(SuperMarket[Ville])</f>
        <v>GAROUA</v>
      </c>
      <c r="J150" t="str">
        <f>UPPER(SuperMarket[Marque])</f>
        <v>BVC</v>
      </c>
      <c r="K150" s="5">
        <f>(SuperMarket[[#This Row],[Qté]]*SuperMarket[[#This Row],[Prix_Unit]])</f>
        <v>27000</v>
      </c>
      <c r="L150" s="4" t="str">
        <f>TEXT(DATE(RIGHT(SuperMarket[[#This Row],[Date]],4),MID(SuperMarket[[#This Row],[Date]],4,2),LEFT(SuperMarket[[#This Row],[Date]],2)),"mmmm")</f>
        <v>April</v>
      </c>
    </row>
    <row r="151" spans="1:12" x14ac:dyDescent="0.3">
      <c r="A151" t="s">
        <v>549</v>
      </c>
      <c r="B151" s="3" t="s">
        <v>269</v>
      </c>
      <c r="C151" t="s">
        <v>10</v>
      </c>
      <c r="D151" t="s">
        <v>73</v>
      </c>
      <c r="E151" t="s">
        <v>74</v>
      </c>
      <c r="F151" t="s">
        <v>13</v>
      </c>
      <c r="G151" t="s">
        <v>137</v>
      </c>
      <c r="H151" s="1" t="s">
        <v>45</v>
      </c>
      <c r="I151" t="str">
        <f>UPPER(SuperMarket[Ville])</f>
        <v>DOUALA</v>
      </c>
      <c r="J151" t="str">
        <f>UPPER(SuperMarket[Marque])</f>
        <v>PANZANI</v>
      </c>
      <c r="K151" s="5">
        <f>(SuperMarket[[#This Row],[Qté]]*SuperMarket[[#This Row],[Prix_Unit]])</f>
        <v>30000</v>
      </c>
      <c r="L151" s="4" t="str">
        <f>TEXT(DATE(RIGHT(SuperMarket[[#This Row],[Date]],4),MID(SuperMarket[[#This Row],[Date]],4,2),LEFT(SuperMarket[[#This Row],[Date]],2)),"mmmm")</f>
        <v>April</v>
      </c>
    </row>
    <row r="152" spans="1:12" x14ac:dyDescent="0.3">
      <c r="A152" t="s">
        <v>550</v>
      </c>
      <c r="B152" s="3" t="s">
        <v>273</v>
      </c>
      <c r="C152" t="s">
        <v>34</v>
      </c>
      <c r="D152" t="s">
        <v>551</v>
      </c>
      <c r="E152" t="s">
        <v>151</v>
      </c>
      <c r="F152" t="s">
        <v>21</v>
      </c>
      <c r="G152" t="s">
        <v>22</v>
      </c>
      <c r="H152" s="1" t="s">
        <v>352</v>
      </c>
      <c r="I152" t="str">
        <f>UPPER(SuperMarket[Ville])</f>
        <v>YAOUNDÉ</v>
      </c>
      <c r="J152" t="str">
        <f>UPPER(SuperMarket[Marque])</f>
        <v>MIXA</v>
      </c>
      <c r="K152" s="5">
        <f>(SuperMarket[[#This Row],[Qté]]*SuperMarket[[#This Row],[Prix_Unit]])</f>
        <v>16000</v>
      </c>
      <c r="L152" s="4" t="str">
        <f>TEXT(DATE(RIGHT(SuperMarket[[#This Row],[Date]],4),MID(SuperMarket[[#This Row],[Date]],4,2),LEFT(SuperMarket[[#This Row],[Date]],2)),"mmmm")</f>
        <v>April</v>
      </c>
    </row>
    <row r="153" spans="1:12" x14ac:dyDescent="0.3">
      <c r="A153" t="s">
        <v>552</v>
      </c>
      <c r="B153" s="3" t="s">
        <v>278</v>
      </c>
      <c r="C153" t="s">
        <v>26</v>
      </c>
      <c r="D153" t="s">
        <v>112</v>
      </c>
      <c r="E153" t="s">
        <v>113</v>
      </c>
      <c r="F153" t="s">
        <v>37</v>
      </c>
      <c r="G153" t="s">
        <v>63</v>
      </c>
      <c r="H153" s="1" t="s">
        <v>45</v>
      </c>
      <c r="I153" t="str">
        <f>UPPER(SuperMarket[Ville])</f>
        <v>BAFOUSSAM</v>
      </c>
      <c r="J153" t="str">
        <f>UPPER(SuperMarket[Marque])</f>
        <v>DJINO</v>
      </c>
      <c r="K153" s="5">
        <f>(SuperMarket[[#This Row],[Qté]]*SuperMarket[[#This Row],[Prix_Unit]])</f>
        <v>14400</v>
      </c>
      <c r="L153" s="4" t="str">
        <f>TEXT(DATE(RIGHT(SuperMarket[[#This Row],[Date]],4),MID(SuperMarket[[#This Row],[Date]],4,2),LEFT(SuperMarket[[#This Row],[Date]],2)),"mmmm")</f>
        <v>April</v>
      </c>
    </row>
    <row r="154" spans="1:12" x14ac:dyDescent="0.3">
      <c r="A154" t="s">
        <v>553</v>
      </c>
      <c r="B154" s="3" t="s">
        <v>282</v>
      </c>
      <c r="C154" t="s">
        <v>10</v>
      </c>
      <c r="D154" t="s">
        <v>498</v>
      </c>
      <c r="E154" t="s">
        <v>499</v>
      </c>
      <c r="F154" t="s">
        <v>56</v>
      </c>
      <c r="G154" t="s">
        <v>44</v>
      </c>
      <c r="H154" s="1" t="s">
        <v>39</v>
      </c>
      <c r="I154" t="str">
        <f>UPPER(SuperMarket[Ville])</f>
        <v>KRIBI</v>
      </c>
      <c r="J154" t="str">
        <f>UPPER(SuperMarket[Marque])</f>
        <v>CIGALE</v>
      </c>
      <c r="K154" s="5">
        <f>(SuperMarket[[#This Row],[Qté]]*SuperMarket[[#This Row],[Prix_Unit]])</f>
        <v>52500</v>
      </c>
      <c r="L154" s="4" t="str">
        <f>TEXT(DATE(RIGHT(SuperMarket[[#This Row],[Date]],4),MID(SuperMarket[[#This Row],[Date]],4,2),LEFT(SuperMarket[[#This Row],[Date]],2)),"mmmm")</f>
        <v>May</v>
      </c>
    </row>
    <row r="155" spans="1:12" x14ac:dyDescent="0.3">
      <c r="A155" t="s">
        <v>554</v>
      </c>
      <c r="B155" s="3" t="s">
        <v>285</v>
      </c>
      <c r="C155" t="s">
        <v>18</v>
      </c>
      <c r="D155" t="s">
        <v>263</v>
      </c>
      <c r="E155" t="s">
        <v>165</v>
      </c>
      <c r="F155" t="s">
        <v>13</v>
      </c>
      <c r="G155" t="s">
        <v>14</v>
      </c>
      <c r="H155" s="1" t="s">
        <v>166</v>
      </c>
      <c r="I155" t="str">
        <f>UPPER(SuperMarket[Ville])</f>
        <v>DOUALA</v>
      </c>
      <c r="J155" t="str">
        <f>UPPER(SuperMarket[Marque])</f>
        <v>AJAX</v>
      </c>
      <c r="K155" s="5">
        <f>(SuperMarket[[#This Row],[Qté]]*SuperMarket[[#This Row],[Prix_Unit]])</f>
        <v>14000</v>
      </c>
      <c r="L155" s="4" t="str">
        <f>TEXT(DATE(RIGHT(SuperMarket[[#This Row],[Date]],4),MID(SuperMarket[[#This Row],[Date]],4,2),LEFT(SuperMarket[[#This Row],[Date]],2)),"mmmm")</f>
        <v>May</v>
      </c>
    </row>
    <row r="156" spans="1:12" x14ac:dyDescent="0.3">
      <c r="A156" t="s">
        <v>555</v>
      </c>
      <c r="B156" s="3" t="s">
        <v>289</v>
      </c>
      <c r="C156" t="s">
        <v>26</v>
      </c>
      <c r="D156" t="s">
        <v>556</v>
      </c>
      <c r="E156" t="s">
        <v>211</v>
      </c>
      <c r="F156" t="s">
        <v>29</v>
      </c>
      <c r="G156" t="s">
        <v>390</v>
      </c>
      <c r="H156" s="1" t="s">
        <v>180</v>
      </c>
      <c r="I156" t="str">
        <f>UPPER(SuperMarket[Ville])</f>
        <v>GAROUA</v>
      </c>
      <c r="J156" t="str">
        <f>UPPER(SuperMarket[Marque])</f>
        <v>SABC</v>
      </c>
      <c r="K156" s="5">
        <f>(SuperMarket[[#This Row],[Qté]]*SuperMarket[[#This Row],[Prix_Unit]])</f>
        <v>25200</v>
      </c>
      <c r="L156" s="4" t="str">
        <f>TEXT(DATE(RIGHT(SuperMarket[[#This Row],[Date]],4),MID(SuperMarket[[#This Row],[Date]],4,2),LEFT(SuperMarket[[#This Row],[Date]],2)),"mmmm")</f>
        <v>May</v>
      </c>
    </row>
    <row r="157" spans="1:12" x14ac:dyDescent="0.3">
      <c r="A157" t="s">
        <v>557</v>
      </c>
      <c r="B157" s="3" t="s">
        <v>106</v>
      </c>
      <c r="C157" t="s">
        <v>10</v>
      </c>
      <c r="D157" t="s">
        <v>558</v>
      </c>
      <c r="E157" t="s">
        <v>170</v>
      </c>
      <c r="F157" t="s">
        <v>13</v>
      </c>
      <c r="G157" t="s">
        <v>14</v>
      </c>
      <c r="H157" s="1" t="s">
        <v>99</v>
      </c>
      <c r="I157" t="str">
        <f>UPPER(SuperMarket[Ville])</f>
        <v>DOUALA</v>
      </c>
      <c r="J157" t="str">
        <f>UPPER(SuperMarket[Marque])</f>
        <v>TARTINA</v>
      </c>
      <c r="K157" s="5">
        <f>(SuperMarket[[#This Row],[Qté]]*SuperMarket[[#This Row],[Prix_Unit]])</f>
        <v>25000</v>
      </c>
      <c r="L157" s="4" t="str">
        <f>TEXT(DATE(RIGHT(SuperMarket[[#This Row],[Date]],4),MID(SuperMarket[[#This Row],[Date]],4,2),LEFT(SuperMarket[[#This Row],[Date]],2)),"mmmm")</f>
        <v>June</v>
      </c>
    </row>
    <row r="158" spans="1:12" x14ac:dyDescent="0.3">
      <c r="A158" t="s">
        <v>559</v>
      </c>
      <c r="B158" s="3" t="s">
        <v>445</v>
      </c>
      <c r="C158" t="s">
        <v>34</v>
      </c>
      <c r="D158" t="s">
        <v>67</v>
      </c>
      <c r="E158" t="s">
        <v>68</v>
      </c>
      <c r="F158" t="s">
        <v>21</v>
      </c>
      <c r="G158" t="s">
        <v>30</v>
      </c>
      <c r="H158" s="1" t="s">
        <v>70</v>
      </c>
      <c r="I158" t="str">
        <f>UPPER(SuperMarket[Ville])</f>
        <v>YAOUNDÉ</v>
      </c>
      <c r="J158" t="str">
        <f>UPPER(SuperMarket[Marque])</f>
        <v>CAMAY</v>
      </c>
      <c r="K158" s="5">
        <f>(SuperMarket[[#This Row],[Qté]]*SuperMarket[[#This Row],[Prix_Unit]])</f>
        <v>10000</v>
      </c>
      <c r="L158" s="4" t="str">
        <f>TEXT(DATE(RIGHT(SuperMarket[[#This Row],[Date]],4),MID(SuperMarket[[#This Row],[Date]],4,2),LEFT(SuperMarket[[#This Row],[Date]],2)),"mmmm")</f>
        <v>June</v>
      </c>
    </row>
    <row r="159" spans="1:12" x14ac:dyDescent="0.3">
      <c r="A159" t="s">
        <v>560</v>
      </c>
      <c r="B159" s="3" t="s">
        <v>448</v>
      </c>
      <c r="C159" t="s">
        <v>26</v>
      </c>
      <c r="D159" t="s">
        <v>210</v>
      </c>
      <c r="E159" t="s">
        <v>211</v>
      </c>
      <c r="F159" t="s">
        <v>29</v>
      </c>
      <c r="G159" t="s">
        <v>63</v>
      </c>
      <c r="H159" s="1" t="s">
        <v>45</v>
      </c>
      <c r="I159" t="str">
        <f>UPPER(SuperMarket[Ville])</f>
        <v>GAROUA</v>
      </c>
      <c r="J159" t="str">
        <f>UPPER(SuperMarket[Marque])</f>
        <v>SABC</v>
      </c>
      <c r="K159" s="5">
        <f>(SuperMarket[[#This Row],[Qté]]*SuperMarket[[#This Row],[Prix_Unit]])</f>
        <v>14400</v>
      </c>
      <c r="L159" s="4" t="str">
        <f>TEXT(DATE(RIGHT(SuperMarket[[#This Row],[Date]],4),MID(SuperMarket[[#This Row],[Date]],4,2),LEFT(SuperMarket[[#This Row],[Date]],2)),"mmmm")</f>
        <v>June</v>
      </c>
    </row>
    <row r="160" spans="1:12" x14ac:dyDescent="0.3">
      <c r="A160" t="s">
        <v>561</v>
      </c>
      <c r="B160" s="3" t="s">
        <v>452</v>
      </c>
      <c r="C160" t="s">
        <v>18</v>
      </c>
      <c r="D160" t="s">
        <v>102</v>
      </c>
      <c r="E160" t="s">
        <v>103</v>
      </c>
      <c r="F160" t="s">
        <v>37</v>
      </c>
      <c r="G160" t="s">
        <v>84</v>
      </c>
      <c r="H160" s="1" t="s">
        <v>104</v>
      </c>
      <c r="I160" t="str">
        <f>UPPER(SuperMarket[Ville])</f>
        <v>BAFOUSSAM</v>
      </c>
      <c r="J160" t="str">
        <f>UPPER(SuperMarket[Marque])</f>
        <v>AIRWICK</v>
      </c>
      <c r="K160" s="5">
        <f>(SuperMarket[[#This Row],[Qté]]*SuperMarket[[#This Row],[Prix_Unit]])</f>
        <v>10800</v>
      </c>
      <c r="L160" s="4" t="str">
        <f>TEXT(DATE(RIGHT(SuperMarket[[#This Row],[Date]],4),MID(SuperMarket[[#This Row],[Date]],4,2),LEFT(SuperMarket[[#This Row],[Date]],2)),"mmmm")</f>
        <v>June</v>
      </c>
    </row>
    <row r="161" spans="1:12" x14ac:dyDescent="0.3">
      <c r="A161" t="s">
        <v>562</v>
      </c>
      <c r="B161" s="3" t="s">
        <v>456</v>
      </c>
      <c r="C161" t="s">
        <v>10</v>
      </c>
      <c r="D161" t="s">
        <v>563</v>
      </c>
      <c r="E161" t="s">
        <v>49</v>
      </c>
      <c r="F161" t="s">
        <v>13</v>
      </c>
      <c r="G161" t="s">
        <v>69</v>
      </c>
      <c r="H161" s="1" t="s">
        <v>23</v>
      </c>
      <c r="I161" t="str">
        <f>UPPER(SuperMarket[Ville])</f>
        <v>DOUALA</v>
      </c>
      <c r="J161" t="str">
        <f>UPPER(SuperMarket[Marque])</f>
        <v>JADIDA</v>
      </c>
      <c r="K161" s="5">
        <f>(SuperMarket[[#This Row],[Qté]]*SuperMarket[[#This Row],[Prix_Unit]])</f>
        <v>14400</v>
      </c>
      <c r="L161" s="4" t="str">
        <f>TEXT(DATE(RIGHT(SuperMarket[[#This Row],[Date]],4),MID(SuperMarket[[#This Row],[Date]],4,2),LEFT(SuperMarket[[#This Row],[Date]],2)),"mmmm")</f>
        <v>July</v>
      </c>
    </row>
    <row r="162" spans="1:12" x14ac:dyDescent="0.3">
      <c r="A162" t="s">
        <v>564</v>
      </c>
      <c r="B162" s="3" t="s">
        <v>121</v>
      </c>
      <c r="C162" t="s">
        <v>26</v>
      </c>
      <c r="D162" t="s">
        <v>27</v>
      </c>
      <c r="E162" t="s">
        <v>28</v>
      </c>
      <c r="F162" t="s">
        <v>56</v>
      </c>
      <c r="G162" t="s">
        <v>93</v>
      </c>
      <c r="H162" s="1" t="s">
        <v>31</v>
      </c>
      <c r="I162" t="str">
        <f>UPPER(SuperMarket[Ville])</f>
        <v>KRIBI</v>
      </c>
      <c r="J162" t="str">
        <f>UPPER(SuperMarket[Marque])</f>
        <v>TANGUI</v>
      </c>
      <c r="K162" s="5">
        <f>(SuperMarket[[#This Row],[Qté]]*SuperMarket[[#This Row],[Prix_Unit]])</f>
        <v>16000</v>
      </c>
      <c r="L162" s="4" t="str">
        <f>TEXT(DATE(RIGHT(SuperMarket[[#This Row],[Date]],4),MID(SuperMarket[[#This Row],[Date]],4,2),LEFT(SuperMarket[[#This Row],[Date]],2)),"mmmm")</f>
        <v>July</v>
      </c>
    </row>
    <row r="163" spans="1:12" x14ac:dyDescent="0.3">
      <c r="A163" t="s">
        <v>565</v>
      </c>
      <c r="B163" s="3" t="s">
        <v>566</v>
      </c>
      <c r="C163" t="s">
        <v>34</v>
      </c>
      <c r="D163" t="s">
        <v>314</v>
      </c>
      <c r="E163" t="s">
        <v>98</v>
      </c>
      <c r="F163" t="s">
        <v>21</v>
      </c>
      <c r="G163" t="s">
        <v>50</v>
      </c>
      <c r="H163" s="1" t="s">
        <v>99</v>
      </c>
      <c r="I163" t="str">
        <f>UPPER(SuperMarket[Ville])</f>
        <v>YAOUNDÉ</v>
      </c>
      <c r="J163" t="str">
        <f>UPPER(SuperMarket[Marque])</f>
        <v>DOVE</v>
      </c>
      <c r="K163" s="5">
        <f>(SuperMarket[[#This Row],[Qté]]*SuperMarket[[#This Row],[Prix_Unit]])</f>
        <v>20000</v>
      </c>
      <c r="L163" s="4" t="str">
        <f>TEXT(DATE(RIGHT(SuperMarket[[#This Row],[Date]],4),MID(SuperMarket[[#This Row],[Date]],4,2),LEFT(SuperMarket[[#This Row],[Date]],2)),"mmmm")</f>
        <v>July</v>
      </c>
    </row>
    <row r="164" spans="1:12" x14ac:dyDescent="0.3">
      <c r="A164" t="s">
        <v>567</v>
      </c>
      <c r="B164" s="3" t="s">
        <v>568</v>
      </c>
      <c r="C164" t="s">
        <v>18</v>
      </c>
      <c r="D164" t="s">
        <v>54</v>
      </c>
      <c r="E164" t="s">
        <v>55</v>
      </c>
      <c r="F164" t="s">
        <v>13</v>
      </c>
      <c r="G164" t="s">
        <v>44</v>
      </c>
      <c r="H164" s="1" t="s">
        <v>58</v>
      </c>
      <c r="I164" t="str">
        <f>UPPER(SuperMarket[Ville])</f>
        <v>DOUALA</v>
      </c>
      <c r="J164" t="str">
        <f>UPPER(SuperMarket[Marque])</f>
        <v>LACROIX</v>
      </c>
      <c r="K164" s="5">
        <f>(SuperMarket[[#This Row],[Qté]]*SuperMarket[[#This Row],[Prix_Unit]])</f>
        <v>12750</v>
      </c>
      <c r="L164" s="4" t="str">
        <f>TEXT(DATE(RIGHT(SuperMarket[[#This Row],[Date]],4),MID(SuperMarket[[#This Row],[Date]],4,2),LEFT(SuperMarket[[#This Row],[Date]],2)),"mmmm")</f>
        <v>August</v>
      </c>
    </row>
    <row r="165" spans="1:12" x14ac:dyDescent="0.3">
      <c r="A165" t="s">
        <v>569</v>
      </c>
      <c r="B165" s="3" t="s">
        <v>134</v>
      </c>
      <c r="C165" t="s">
        <v>10</v>
      </c>
      <c r="D165" t="s">
        <v>570</v>
      </c>
      <c r="E165" t="s">
        <v>571</v>
      </c>
      <c r="F165" t="s">
        <v>29</v>
      </c>
      <c r="G165" t="s">
        <v>57</v>
      </c>
      <c r="H165" s="1" t="s">
        <v>39</v>
      </c>
      <c r="I165" t="str">
        <f>UPPER(SuperMarket[Ville])</f>
        <v>GAROUA</v>
      </c>
      <c r="J165" t="str">
        <f>UPPER(SuperMarket[Marque])</f>
        <v>VITA</v>
      </c>
      <c r="K165" s="5">
        <f>(SuperMarket[[#This Row],[Qté]]*SuperMarket[[#This Row],[Prix_Unit]])</f>
        <v>14000</v>
      </c>
      <c r="L165" s="4" t="str">
        <f>TEXT(DATE(RIGHT(SuperMarket[[#This Row],[Date]],4),MID(SuperMarket[[#This Row],[Date]],4,2),LEFT(SuperMarket[[#This Row],[Date]],2)),"mmmm")</f>
        <v>August</v>
      </c>
    </row>
    <row r="166" spans="1:12" x14ac:dyDescent="0.3">
      <c r="A166" t="s">
        <v>572</v>
      </c>
      <c r="B166" s="3" t="s">
        <v>573</v>
      </c>
      <c r="C166" t="s">
        <v>26</v>
      </c>
      <c r="D166" t="s">
        <v>146</v>
      </c>
      <c r="E166" t="s">
        <v>147</v>
      </c>
      <c r="F166" t="s">
        <v>37</v>
      </c>
      <c r="G166" t="s">
        <v>390</v>
      </c>
      <c r="H166" s="1" t="s">
        <v>70</v>
      </c>
      <c r="I166" t="str">
        <f>UPPER(SuperMarket[Ville])</f>
        <v>BAFOUSSAM</v>
      </c>
      <c r="J166" t="str">
        <f>UPPER(SuperMarket[Marque])</f>
        <v>VIMTO</v>
      </c>
      <c r="K166" s="5">
        <f>(SuperMarket[[#This Row],[Qté]]*SuperMarket[[#This Row],[Prix_Unit]])</f>
        <v>18000</v>
      </c>
      <c r="L166" s="4" t="str">
        <f>TEXT(DATE(RIGHT(SuperMarket[[#This Row],[Date]],4),MID(SuperMarket[[#This Row],[Date]],4,2),LEFT(SuperMarket[[#This Row],[Date]],2)),"mmmm")</f>
        <v>August</v>
      </c>
    </row>
    <row r="167" spans="1:12" x14ac:dyDescent="0.3">
      <c r="A167" t="s">
        <v>574</v>
      </c>
      <c r="B167" s="3" t="s">
        <v>575</v>
      </c>
      <c r="C167" t="s">
        <v>10</v>
      </c>
      <c r="D167" t="s">
        <v>48</v>
      </c>
      <c r="E167" t="s">
        <v>49</v>
      </c>
      <c r="F167" t="s">
        <v>13</v>
      </c>
      <c r="G167" t="s">
        <v>14</v>
      </c>
      <c r="H167" s="1" t="s">
        <v>51</v>
      </c>
      <c r="I167" t="str">
        <f>UPPER(SuperMarket[Ville])</f>
        <v>DOUALA</v>
      </c>
      <c r="J167" t="str">
        <f>UPPER(SuperMarket[Marque])</f>
        <v>JADIDA</v>
      </c>
      <c r="K167" s="5">
        <f>(SuperMarket[[#This Row],[Qté]]*SuperMarket[[#This Row],[Prix_Unit]])</f>
        <v>11000</v>
      </c>
      <c r="L167" s="4" t="str">
        <f>TEXT(DATE(RIGHT(SuperMarket[[#This Row],[Date]],4),MID(SuperMarket[[#This Row],[Date]],4,2),LEFT(SuperMarket[[#This Row],[Date]],2)),"mmmm")</f>
        <v>September</v>
      </c>
    </row>
    <row r="168" spans="1:12" x14ac:dyDescent="0.3">
      <c r="A168" t="s">
        <v>576</v>
      </c>
      <c r="B168" s="3" t="s">
        <v>577</v>
      </c>
      <c r="C168" t="s">
        <v>34</v>
      </c>
      <c r="D168" t="s">
        <v>578</v>
      </c>
      <c r="E168" t="s">
        <v>36</v>
      </c>
      <c r="F168" t="s">
        <v>21</v>
      </c>
      <c r="G168" t="s">
        <v>22</v>
      </c>
      <c r="H168" s="1">
        <v>3500</v>
      </c>
      <c r="I168" t="str">
        <f>UPPER(SuperMarket[Ville])</f>
        <v>YAOUNDÉ</v>
      </c>
      <c r="J168" t="str">
        <f>UPPER(SuperMarket[Marque])</f>
        <v>NIVEA</v>
      </c>
      <c r="K168" s="5">
        <f>(SuperMarket[[#This Row],[Qté]]*SuperMarket[[#This Row],[Prix_Unit]])</f>
        <v>17500</v>
      </c>
      <c r="L168" s="4" t="str">
        <f>TEXT(DATE(RIGHT(SuperMarket[[#This Row],[Date]],4),MID(SuperMarket[[#This Row],[Date]],4,2),LEFT(SuperMarket[[#This Row],[Date]],2)),"mmmm")</f>
        <v>September</v>
      </c>
    </row>
    <row r="169" spans="1:12" x14ac:dyDescent="0.3">
      <c r="A169" t="s">
        <v>579</v>
      </c>
      <c r="B169" s="3" t="s">
        <v>154</v>
      </c>
      <c r="C169" t="s">
        <v>18</v>
      </c>
      <c r="D169" t="s">
        <v>82</v>
      </c>
      <c r="E169" t="s">
        <v>83</v>
      </c>
      <c r="F169" t="s">
        <v>56</v>
      </c>
      <c r="G169" t="s">
        <v>69</v>
      </c>
      <c r="H169" s="1" t="s">
        <v>51</v>
      </c>
      <c r="I169" t="str">
        <f>UPPER(SuperMarket[Ville])</f>
        <v>KRIBI</v>
      </c>
      <c r="J169" t="str">
        <f>UPPER(SuperMarket[Marque])</f>
        <v>PAIC</v>
      </c>
      <c r="K169" s="5">
        <f>(SuperMarket[[#This Row],[Qté]]*SuperMarket[[#This Row],[Prix_Unit]])</f>
        <v>13200</v>
      </c>
      <c r="L169" s="4" t="str">
        <f>TEXT(DATE(RIGHT(SuperMarket[[#This Row],[Date]],4),MID(SuperMarket[[#This Row],[Date]],4,2),LEFT(SuperMarket[[#This Row],[Date]],2)),"mmmm")</f>
        <v>September</v>
      </c>
    </row>
    <row r="170" spans="1:12" x14ac:dyDescent="0.3">
      <c r="A170" t="s">
        <v>580</v>
      </c>
      <c r="B170" s="3" t="s">
        <v>158</v>
      </c>
      <c r="C170" t="s">
        <v>26</v>
      </c>
      <c r="D170" t="s">
        <v>207</v>
      </c>
      <c r="E170" t="s">
        <v>208</v>
      </c>
      <c r="F170" t="s">
        <v>29</v>
      </c>
      <c r="G170" t="s">
        <v>63</v>
      </c>
      <c r="H170" s="1" t="s">
        <v>128</v>
      </c>
      <c r="I170" t="str">
        <f>UPPER(SuperMarket[Ville])</f>
        <v>GAROUA</v>
      </c>
      <c r="J170" t="str">
        <f>UPPER(SuperMarket[Marque])</f>
        <v>GUINNESS</v>
      </c>
      <c r="K170" s="5">
        <f>(SuperMarket[[#This Row],[Qté]]*SuperMarket[[#This Row],[Prix_Unit]])</f>
        <v>19200</v>
      </c>
      <c r="L170" s="4" t="str">
        <f>TEXT(DATE(RIGHT(SuperMarket[[#This Row],[Date]],4),MID(SuperMarket[[#This Row],[Date]],4,2),LEFT(SuperMarket[[#This Row],[Date]],2)),"mmmm")</f>
        <v>October</v>
      </c>
    </row>
    <row r="171" spans="1:12" x14ac:dyDescent="0.3">
      <c r="A171" t="s">
        <v>581</v>
      </c>
      <c r="B171" s="3" t="s">
        <v>346</v>
      </c>
      <c r="C171" t="s">
        <v>10</v>
      </c>
      <c r="D171" t="s">
        <v>582</v>
      </c>
      <c r="E171" t="s">
        <v>88</v>
      </c>
      <c r="F171" t="s">
        <v>37</v>
      </c>
      <c r="G171" t="s">
        <v>44</v>
      </c>
      <c r="H171" s="1" t="s">
        <v>58</v>
      </c>
      <c r="I171" t="str">
        <f>UPPER(SuperMarket[Ville])</f>
        <v>BAFOUSSAM</v>
      </c>
      <c r="J171" t="str">
        <f>UPPER(SuperMarket[Marque])</f>
        <v>SOSUCAM</v>
      </c>
      <c r="K171" s="5">
        <f>(SuperMarket[[#This Row],[Qté]]*SuperMarket[[#This Row],[Prix_Unit]])</f>
        <v>12750</v>
      </c>
      <c r="L171" s="4" t="str">
        <f>TEXT(DATE(RIGHT(SuperMarket[[#This Row],[Date]],4),MID(SuperMarket[[#This Row],[Date]],4,2),LEFT(SuperMarket[[#This Row],[Date]],2)),"mmmm")</f>
        <v>October</v>
      </c>
    </row>
    <row r="172" spans="1:12" x14ac:dyDescent="0.3">
      <c r="A172" t="s">
        <v>583</v>
      </c>
      <c r="B172" s="3" t="s">
        <v>168</v>
      </c>
      <c r="C172" t="s">
        <v>34</v>
      </c>
      <c r="D172" t="s">
        <v>126</v>
      </c>
      <c r="E172" t="s">
        <v>127</v>
      </c>
      <c r="F172" t="s">
        <v>13</v>
      </c>
      <c r="G172" t="s">
        <v>30</v>
      </c>
      <c r="H172" s="1" t="s">
        <v>128</v>
      </c>
      <c r="I172" t="str">
        <f>UPPER(SuperMarket[Ville])</f>
        <v>DOUALA</v>
      </c>
      <c r="J172" t="str">
        <f>UPPER(SuperMarket[Marque])</f>
        <v>COLGATE</v>
      </c>
      <c r="K172" s="5">
        <f>(SuperMarket[[#This Row],[Qté]]*SuperMarket[[#This Row],[Prix_Unit]])</f>
        <v>16000</v>
      </c>
      <c r="L172" s="4" t="str">
        <f>TEXT(DATE(RIGHT(SuperMarket[[#This Row],[Date]],4),MID(SuperMarket[[#This Row],[Date]],4,2),LEFT(SuperMarket[[#This Row],[Date]],2)),"mmmm")</f>
        <v>October</v>
      </c>
    </row>
    <row r="173" spans="1:12" x14ac:dyDescent="0.3">
      <c r="A173" t="s">
        <v>584</v>
      </c>
      <c r="B173" s="3" t="s">
        <v>172</v>
      </c>
      <c r="C173" t="s">
        <v>26</v>
      </c>
      <c r="D173" t="s">
        <v>585</v>
      </c>
      <c r="E173" t="s">
        <v>43</v>
      </c>
      <c r="F173" t="s">
        <v>21</v>
      </c>
      <c r="G173" t="s">
        <v>586</v>
      </c>
      <c r="H173" s="1" t="s">
        <v>45</v>
      </c>
      <c r="I173" t="str">
        <f>UPPER(SuperMarket[Ville])</f>
        <v>YAOUNDÉ</v>
      </c>
      <c r="J173" t="str">
        <f>UPPER(SuperMarket[Marque])</f>
        <v>TOP</v>
      </c>
      <c r="K173" s="5">
        <f>(SuperMarket[[#This Row],[Qté]]*SuperMarket[[#This Row],[Prix_Unit]])</f>
        <v>10800</v>
      </c>
      <c r="L173" s="4" t="str">
        <f>TEXT(DATE(RIGHT(SuperMarket[[#This Row],[Date]],4),MID(SuperMarket[[#This Row],[Date]],4,2),LEFT(SuperMarket[[#This Row],[Date]],2)),"mmmm")</f>
        <v>November</v>
      </c>
    </row>
    <row r="174" spans="1:12" x14ac:dyDescent="0.3">
      <c r="A174" t="s">
        <v>587</v>
      </c>
      <c r="B174" s="3" t="s">
        <v>497</v>
      </c>
      <c r="C174" t="s">
        <v>18</v>
      </c>
      <c r="D174" t="s">
        <v>397</v>
      </c>
      <c r="E174" t="s">
        <v>142</v>
      </c>
      <c r="F174" t="s">
        <v>56</v>
      </c>
      <c r="G174" t="s">
        <v>109</v>
      </c>
      <c r="H174" s="1" t="s">
        <v>143</v>
      </c>
      <c r="I174" t="str">
        <f>UPPER(SuperMarket[Ville])</f>
        <v>KRIBI</v>
      </c>
      <c r="J174" t="str">
        <f>UPPER(SuperMarket[Marque])</f>
        <v>SCOTCH</v>
      </c>
      <c r="K174" s="5">
        <f>(SuperMarket[[#This Row],[Qté]]*SuperMarket[[#This Row],[Prix_Unit]])</f>
        <v>9000</v>
      </c>
      <c r="L174" s="4" t="str">
        <f>TEXT(DATE(RIGHT(SuperMarket[[#This Row],[Date]],4),MID(SuperMarket[[#This Row],[Date]],4,2),LEFT(SuperMarket[[#This Row],[Date]],2)),"mmmm")</f>
        <v>November</v>
      </c>
    </row>
    <row r="175" spans="1:12" x14ac:dyDescent="0.3">
      <c r="A175" t="s">
        <v>588</v>
      </c>
      <c r="B175" s="3" t="s">
        <v>589</v>
      </c>
      <c r="C175" t="s">
        <v>10</v>
      </c>
      <c r="D175" t="s">
        <v>590</v>
      </c>
      <c r="E175" t="s">
        <v>267</v>
      </c>
      <c r="F175" t="s">
        <v>29</v>
      </c>
      <c r="G175" t="s">
        <v>84</v>
      </c>
      <c r="H175" s="1" t="s">
        <v>39</v>
      </c>
      <c r="I175" t="str">
        <f>UPPER(SuperMarket[Ville])</f>
        <v>GAROUA</v>
      </c>
      <c r="J175" t="str">
        <f>UPPER(SuperMarket[Marque])</f>
        <v>NESCAFE</v>
      </c>
      <c r="K175" s="5">
        <f>(SuperMarket[[#This Row],[Qté]]*SuperMarket[[#This Row],[Prix_Unit]])</f>
        <v>21000</v>
      </c>
      <c r="L175" s="4" t="str">
        <f>TEXT(DATE(RIGHT(SuperMarket[[#This Row],[Date]],4),MID(SuperMarket[[#This Row],[Date]],4,2),LEFT(SuperMarket[[#This Row],[Date]],2)),"mmmm")</f>
        <v>November</v>
      </c>
    </row>
    <row r="176" spans="1:12" x14ac:dyDescent="0.3">
      <c r="A176" t="s">
        <v>591</v>
      </c>
      <c r="B176" s="3" t="s">
        <v>592</v>
      </c>
      <c r="C176" t="s">
        <v>26</v>
      </c>
      <c r="D176" t="s">
        <v>178</v>
      </c>
      <c r="E176" t="s">
        <v>179</v>
      </c>
      <c r="F176" t="s">
        <v>13</v>
      </c>
      <c r="G176" t="s">
        <v>30</v>
      </c>
      <c r="H176" s="1" t="s">
        <v>180</v>
      </c>
      <c r="I176" t="str">
        <f>UPPER(SuperMarket[Ville])</f>
        <v>DOUALA</v>
      </c>
      <c r="J176" t="str">
        <f>UPPER(SuperMarket[Marque])</f>
        <v>KADJI</v>
      </c>
      <c r="K176" s="5">
        <f>(SuperMarket[[#This Row],[Qté]]*SuperMarket[[#This Row],[Prix_Unit]])</f>
        <v>14000</v>
      </c>
      <c r="L176" s="4" t="str">
        <f>TEXT(DATE(RIGHT(SuperMarket[[#This Row],[Date]],4),MID(SuperMarket[[#This Row],[Date]],4,2),LEFT(SuperMarket[[#This Row],[Date]],2)),"mmmm")</f>
        <v>November</v>
      </c>
    </row>
    <row r="177" spans="1:12" x14ac:dyDescent="0.3">
      <c r="A177" t="s">
        <v>593</v>
      </c>
      <c r="B177" s="3" t="s">
        <v>187</v>
      </c>
      <c r="C177" t="s">
        <v>26</v>
      </c>
      <c r="D177" t="s">
        <v>530</v>
      </c>
      <c r="E177" t="s">
        <v>531</v>
      </c>
      <c r="F177" t="s">
        <v>13</v>
      </c>
      <c r="G177" t="s">
        <v>38</v>
      </c>
      <c r="H177" s="1" t="s">
        <v>204</v>
      </c>
      <c r="I177" t="str">
        <f>UPPER(SuperMarket[Ville])</f>
        <v>DOUALA</v>
      </c>
      <c r="J177" t="str">
        <f>UPPER(SuperMarket[Marque])</f>
        <v>LAURENT PERRIER</v>
      </c>
      <c r="K177" s="5">
        <f>(SuperMarket[[#This Row],[Qté]]*SuperMarket[[#This Row],[Prix_Unit]])</f>
        <v>110000</v>
      </c>
      <c r="L177" s="4" t="str">
        <f>TEXT(DATE(RIGHT(SuperMarket[[#This Row],[Date]],4),MID(SuperMarket[[#This Row],[Date]],4,2),LEFT(SuperMarket[[#This Row],[Date]],2)),"mmmm")</f>
        <v>December</v>
      </c>
    </row>
    <row r="178" spans="1:12" x14ac:dyDescent="0.3">
      <c r="A178" t="s">
        <v>594</v>
      </c>
      <c r="B178" s="3" t="s">
        <v>595</v>
      </c>
      <c r="C178" t="s">
        <v>10</v>
      </c>
      <c r="D178" t="s">
        <v>596</v>
      </c>
      <c r="E178" t="s">
        <v>597</v>
      </c>
      <c r="F178" t="s">
        <v>21</v>
      </c>
      <c r="G178" t="s">
        <v>57</v>
      </c>
      <c r="H178" s="1" t="s">
        <v>598</v>
      </c>
      <c r="I178" t="str">
        <f>UPPER(SuperMarket[Ville])</f>
        <v>YAOUNDÉ</v>
      </c>
      <c r="J178" t="str">
        <f>UPPER(SuperMarket[Marque])</f>
        <v>LABEYRIE</v>
      </c>
      <c r="K178" s="5">
        <f>(SuperMarket[[#This Row],[Qté]]*SuperMarket[[#This Row],[Prix_Unit]])</f>
        <v>60000</v>
      </c>
      <c r="L178" s="4" t="str">
        <f>TEXT(DATE(RIGHT(SuperMarket[[#This Row],[Date]],4),MID(SuperMarket[[#This Row],[Date]],4,2),LEFT(SuperMarket[[#This Row],[Date]],2)),"mmmm")</f>
        <v>December</v>
      </c>
    </row>
    <row r="179" spans="1:12" x14ac:dyDescent="0.3">
      <c r="A179" t="s">
        <v>599</v>
      </c>
      <c r="B179" s="3" t="s">
        <v>191</v>
      </c>
      <c r="C179" t="s">
        <v>26</v>
      </c>
      <c r="D179" t="s">
        <v>600</v>
      </c>
      <c r="E179" t="s">
        <v>78</v>
      </c>
      <c r="F179" t="s">
        <v>56</v>
      </c>
      <c r="G179" t="s">
        <v>69</v>
      </c>
      <c r="H179" s="1" t="s">
        <v>15</v>
      </c>
      <c r="I179" t="str">
        <f>UPPER(SuperMarket[Ville])</f>
        <v>KRIBI</v>
      </c>
      <c r="J179" t="str">
        <f>UPPER(SuperMarket[Marque])</f>
        <v>BVC</v>
      </c>
      <c r="K179" s="5">
        <f>(SuperMarket[[#This Row],[Qté]]*SuperMarket[[#This Row],[Prix_Unit]])</f>
        <v>54000</v>
      </c>
      <c r="L179" s="4" t="str">
        <f>TEXT(DATE(RIGHT(SuperMarket[[#This Row],[Date]],4),MID(SuperMarket[[#This Row],[Date]],4,2),LEFT(SuperMarket[[#This Row],[Date]],2)),"mmmm")</f>
        <v>December</v>
      </c>
    </row>
    <row r="180" spans="1:12" x14ac:dyDescent="0.3">
      <c r="A180" t="s">
        <v>601</v>
      </c>
      <c r="B180" s="3" t="s">
        <v>197</v>
      </c>
      <c r="C180" t="s">
        <v>34</v>
      </c>
      <c r="D180" t="s">
        <v>602</v>
      </c>
      <c r="E180" t="s">
        <v>203</v>
      </c>
      <c r="F180" t="s">
        <v>13</v>
      </c>
      <c r="G180" t="s">
        <v>194</v>
      </c>
      <c r="H180" s="1" t="s">
        <v>603</v>
      </c>
      <c r="I180" t="str">
        <f>UPPER(SuperMarket[Ville])</f>
        <v>DOUALA</v>
      </c>
      <c r="J180" t="str">
        <f>UPPER(SuperMarket[Marque])</f>
        <v>DIOR</v>
      </c>
      <c r="K180" s="5">
        <f>(SuperMarket[[#This Row],[Qté]]*SuperMarket[[#This Row],[Prix_Unit]])</f>
        <v>65000</v>
      </c>
      <c r="L180" s="4" t="str">
        <f>TEXT(DATE(RIGHT(SuperMarket[[#This Row],[Date]],4),MID(SuperMarket[[#This Row],[Date]],4,2),LEFT(SuperMarket[[#This Row],[Date]],2)),"mmmm")</f>
        <v>December</v>
      </c>
    </row>
    <row r="181" spans="1:12" x14ac:dyDescent="0.3">
      <c r="A181" t="s">
        <v>604</v>
      </c>
      <c r="B181" s="3" t="s">
        <v>201</v>
      </c>
      <c r="C181" t="s">
        <v>10</v>
      </c>
      <c r="D181" t="s">
        <v>366</v>
      </c>
      <c r="E181" t="s">
        <v>199</v>
      </c>
      <c r="F181" t="s">
        <v>21</v>
      </c>
      <c r="G181" t="s">
        <v>79</v>
      </c>
      <c r="H181" s="1" t="s">
        <v>367</v>
      </c>
      <c r="I181" t="str">
        <f>UPPER(SuperMarket[Ville])</f>
        <v>YAOUNDÉ</v>
      </c>
      <c r="J181" t="str">
        <f>UPPER(SuperMarket[Marque])</f>
        <v>AGROCAM</v>
      </c>
      <c r="K181" s="5">
        <f>(SuperMarket[[#This Row],[Qté]]*SuperMarket[[#This Row],[Prix_Unit]])</f>
        <v>37500</v>
      </c>
      <c r="L181" s="4" t="str">
        <f>TEXT(DATE(RIGHT(SuperMarket[[#This Row],[Date]],4),MID(SuperMarket[[#This Row],[Date]],4,2),LEFT(SuperMarket[[#This Row],[Date]],2)),"mmmm")</f>
        <v>December</v>
      </c>
    </row>
    <row r="182" spans="1:12" x14ac:dyDescent="0.3">
      <c r="A182" t="s">
        <v>605</v>
      </c>
      <c r="B182" s="3" t="s">
        <v>526</v>
      </c>
      <c r="C182" t="s">
        <v>26</v>
      </c>
      <c r="D182" t="s">
        <v>517</v>
      </c>
      <c r="E182" t="s">
        <v>211</v>
      </c>
      <c r="F182" t="s">
        <v>29</v>
      </c>
      <c r="G182" t="s">
        <v>317</v>
      </c>
      <c r="H182" s="1" t="s">
        <v>64</v>
      </c>
      <c r="I182" t="str">
        <f>UPPER(SuperMarket[Ville])</f>
        <v>GAROUA</v>
      </c>
      <c r="J182" t="str">
        <f>UPPER(SuperMarket[Marque])</f>
        <v>SABC</v>
      </c>
      <c r="K182" s="5">
        <f>(SuperMarket[[#This Row],[Qté]]*SuperMarket[[#This Row],[Prix_Unit]])</f>
        <v>31200</v>
      </c>
      <c r="L182" s="4" t="str">
        <f>TEXT(DATE(RIGHT(SuperMarket[[#This Row],[Date]],4),MID(SuperMarket[[#This Row],[Date]],4,2),LEFT(SuperMarket[[#This Row],[Date]],2)),"mmmm")</f>
        <v>December</v>
      </c>
    </row>
    <row r="183" spans="1:12" x14ac:dyDescent="0.3">
      <c r="A183" t="s">
        <v>606</v>
      </c>
      <c r="B183" s="3" t="s">
        <v>9</v>
      </c>
      <c r="C183" t="s">
        <v>18</v>
      </c>
      <c r="D183" t="s">
        <v>433</v>
      </c>
      <c r="E183" t="s">
        <v>123</v>
      </c>
      <c r="F183" t="s">
        <v>37</v>
      </c>
      <c r="G183" t="s">
        <v>22</v>
      </c>
      <c r="H183" s="1" t="s">
        <v>435</v>
      </c>
      <c r="I183" t="str">
        <f>UPPER(SuperMarket[Ville])</f>
        <v>BAFOUSSAM</v>
      </c>
      <c r="J183" t="str">
        <f>UPPER(SuperMarket[Marque])</f>
        <v>ARIEL</v>
      </c>
      <c r="K183" s="5">
        <f>(SuperMarket[[#This Row],[Qté]]*SuperMarket[[#This Row],[Prix_Unit]])</f>
        <v>37500</v>
      </c>
      <c r="L183" s="4" t="str">
        <f>TEXT(DATE(RIGHT(SuperMarket[[#This Row],[Date]],4),MID(SuperMarket[[#This Row],[Date]],4,2),LEFT(SuperMarket[[#This Row],[Date]],2)),"mmmm")</f>
        <v>January</v>
      </c>
    </row>
    <row r="184" spans="1:12" x14ac:dyDescent="0.3">
      <c r="A184" t="s">
        <v>607</v>
      </c>
      <c r="B184" s="3" t="s">
        <v>17</v>
      </c>
      <c r="C184" t="s">
        <v>10</v>
      </c>
      <c r="D184" t="s">
        <v>116</v>
      </c>
      <c r="E184" t="s">
        <v>117</v>
      </c>
      <c r="F184" t="s">
        <v>13</v>
      </c>
      <c r="G184" t="s">
        <v>30</v>
      </c>
      <c r="H184" s="1" t="s">
        <v>119</v>
      </c>
      <c r="I184" t="str">
        <f>UPPER(SuperMarket[Ville])</f>
        <v>DOUALA</v>
      </c>
      <c r="J184" t="str">
        <f>UPPER(SuperMarket[Marque])</f>
        <v>SGMC</v>
      </c>
      <c r="K184" s="5">
        <f>(SuperMarket[[#This Row],[Qté]]*SuperMarket[[#This Row],[Prix_Unit]])</f>
        <v>15000</v>
      </c>
      <c r="L184" s="4" t="str">
        <f>TEXT(DATE(RIGHT(SuperMarket[[#This Row],[Date]],4),MID(SuperMarket[[#This Row],[Date]],4,2),LEFT(SuperMarket[[#This Row],[Date]],2)),"mmmm")</f>
        <v>January</v>
      </c>
    </row>
    <row r="185" spans="1:12" x14ac:dyDescent="0.3">
      <c r="A185" t="s">
        <v>608</v>
      </c>
      <c r="B185" s="3" t="s">
        <v>380</v>
      </c>
      <c r="C185" t="s">
        <v>26</v>
      </c>
      <c r="D185" t="s">
        <v>294</v>
      </c>
      <c r="E185" t="s">
        <v>271</v>
      </c>
      <c r="F185" t="s">
        <v>21</v>
      </c>
      <c r="G185" t="s">
        <v>14</v>
      </c>
      <c r="H185" s="1" t="s">
        <v>51</v>
      </c>
      <c r="I185" t="str">
        <f>UPPER(SuperMarket[Ville])</f>
        <v>YAOUNDÉ</v>
      </c>
      <c r="J185" t="str">
        <f>UPPER(SuperMarket[Marque])</f>
        <v>RAUCH</v>
      </c>
      <c r="K185" s="5">
        <f>(SuperMarket[[#This Row],[Qté]]*SuperMarket[[#This Row],[Prix_Unit]])</f>
        <v>11000</v>
      </c>
      <c r="L185" s="4" t="str">
        <f>TEXT(DATE(RIGHT(SuperMarket[[#This Row],[Date]],4),MID(SuperMarket[[#This Row],[Date]],4,2),LEFT(SuperMarket[[#This Row],[Date]],2)),"mmmm")</f>
        <v>January</v>
      </c>
    </row>
    <row r="186" spans="1:12" x14ac:dyDescent="0.3">
      <c r="A186" t="s">
        <v>609</v>
      </c>
      <c r="B186" s="3" t="s">
        <v>224</v>
      </c>
      <c r="C186" t="s">
        <v>34</v>
      </c>
      <c r="D186" t="s">
        <v>258</v>
      </c>
      <c r="E186" t="s">
        <v>259</v>
      </c>
      <c r="F186" t="s">
        <v>29</v>
      </c>
      <c r="G186" t="s">
        <v>79</v>
      </c>
      <c r="H186" s="1" t="s">
        <v>260</v>
      </c>
      <c r="I186" t="str">
        <f>UPPER(SuperMarket[Ville])</f>
        <v>GAROUA</v>
      </c>
      <c r="J186" t="str">
        <f>UPPER(SuperMarket[Marque])</f>
        <v>TOPICREM</v>
      </c>
      <c r="K186" s="5">
        <f>(SuperMarket[[#This Row],[Qté]]*SuperMarket[[#This Row],[Prix_Unit]])</f>
        <v>25500</v>
      </c>
      <c r="L186" s="4" t="str">
        <f>TEXT(DATE(RIGHT(SuperMarket[[#This Row],[Date]],4),MID(SuperMarket[[#This Row],[Date]],4,2),LEFT(SuperMarket[[#This Row],[Date]],2)),"mmmm")</f>
        <v>January</v>
      </c>
    </row>
    <row r="187" spans="1:12" x14ac:dyDescent="0.3">
      <c r="A187" t="s">
        <v>610</v>
      </c>
      <c r="B187" s="3" t="s">
        <v>41</v>
      </c>
      <c r="C187" t="s">
        <v>18</v>
      </c>
      <c r="D187" t="s">
        <v>611</v>
      </c>
      <c r="E187" t="s">
        <v>165</v>
      </c>
      <c r="F187" t="s">
        <v>37</v>
      </c>
      <c r="G187" t="s">
        <v>50</v>
      </c>
      <c r="H187" s="1" t="s">
        <v>166</v>
      </c>
      <c r="I187" t="str">
        <f>UPPER(SuperMarket[Ville])</f>
        <v>BAFOUSSAM</v>
      </c>
      <c r="J187" t="str">
        <f>UPPER(SuperMarket[Marque])</f>
        <v>AJAX</v>
      </c>
      <c r="K187" s="5">
        <f>(SuperMarket[[#This Row],[Qté]]*SuperMarket[[#This Row],[Prix_Unit]])</f>
        <v>11200</v>
      </c>
      <c r="L187" s="4" t="str">
        <f>TEXT(DATE(RIGHT(SuperMarket[[#This Row],[Date]],4),MID(SuperMarket[[#This Row],[Date]],4,2),LEFT(SuperMarket[[#This Row],[Date]],2)),"mmmm")</f>
        <v>February</v>
      </c>
    </row>
    <row r="188" spans="1:12" x14ac:dyDescent="0.3">
      <c r="A188" t="s">
        <v>612</v>
      </c>
      <c r="B188" s="3" t="s">
        <v>230</v>
      </c>
      <c r="C188" t="s">
        <v>10</v>
      </c>
      <c r="D188" t="s">
        <v>613</v>
      </c>
      <c r="E188" t="s">
        <v>614</v>
      </c>
      <c r="F188" t="s">
        <v>13</v>
      </c>
      <c r="G188" t="s">
        <v>44</v>
      </c>
      <c r="H188" s="1" t="s">
        <v>15</v>
      </c>
      <c r="I188" t="str">
        <f>UPPER(SuperMarket[Ville])</f>
        <v>DOUALA</v>
      </c>
      <c r="J188" t="str">
        <f>UPPER(SuperMarket[Marque])</f>
        <v>NEÏMA</v>
      </c>
      <c r="K188" s="5">
        <f>(SuperMarket[[#This Row],[Qté]]*SuperMarket[[#This Row],[Prix_Unit]])</f>
        <v>67500</v>
      </c>
      <c r="L188" s="4" t="str">
        <f>TEXT(DATE(RIGHT(SuperMarket[[#This Row],[Date]],4),MID(SuperMarket[[#This Row],[Date]],4,2),LEFT(SuperMarket[[#This Row],[Date]],2)),"mmmm")</f>
        <v>February</v>
      </c>
    </row>
    <row r="189" spans="1:12" x14ac:dyDescent="0.3">
      <c r="A189" t="s">
        <v>615</v>
      </c>
      <c r="B189" s="3" t="s">
        <v>392</v>
      </c>
      <c r="C189" t="s">
        <v>26</v>
      </c>
      <c r="D189" t="s">
        <v>91</v>
      </c>
      <c r="E189" t="s">
        <v>92</v>
      </c>
      <c r="F189" t="s">
        <v>56</v>
      </c>
      <c r="G189" t="s">
        <v>137</v>
      </c>
      <c r="H189" s="1" t="s">
        <v>94</v>
      </c>
      <c r="I189" t="str">
        <f>UPPER(SuperMarket[Ville])</f>
        <v>KRIBI</v>
      </c>
      <c r="J189" t="str">
        <f>UPPER(SuperMarket[Marque])</f>
        <v>SEME</v>
      </c>
      <c r="K189" s="5">
        <f>(SuperMarket[[#This Row],[Qté]]*SuperMarket[[#This Row],[Prix_Unit]])</f>
        <v>17500</v>
      </c>
      <c r="L189" s="4" t="str">
        <f>TEXT(DATE(RIGHT(SuperMarket[[#This Row],[Date]],4),MID(SuperMarket[[#This Row],[Date]],4,2),LEFT(SuperMarket[[#This Row],[Date]],2)),"mmmm")</f>
        <v>February</v>
      </c>
    </row>
    <row r="190" spans="1:12" x14ac:dyDescent="0.3">
      <c r="A190" t="s">
        <v>616</v>
      </c>
      <c r="B190" s="3" t="s">
        <v>396</v>
      </c>
      <c r="C190" t="s">
        <v>34</v>
      </c>
      <c r="D190" t="s">
        <v>221</v>
      </c>
      <c r="E190" t="s">
        <v>222</v>
      </c>
      <c r="F190" t="s">
        <v>21</v>
      </c>
      <c r="G190" t="s">
        <v>30</v>
      </c>
      <c r="H190" s="1" t="s">
        <v>70</v>
      </c>
      <c r="I190" t="str">
        <f>UPPER(SuperMarket[Ville])</f>
        <v>YAOUNDÉ</v>
      </c>
      <c r="J190" t="str">
        <f>UPPER(SuperMarket[Marque])</f>
        <v>BIO</v>
      </c>
      <c r="K190" s="5">
        <f>(SuperMarket[[#This Row],[Qté]]*SuperMarket[[#This Row],[Prix_Unit]])</f>
        <v>10000</v>
      </c>
      <c r="L190" s="4" t="str">
        <f>TEXT(DATE(RIGHT(SuperMarket[[#This Row],[Date]],4),MID(SuperMarket[[#This Row],[Date]],4,2),LEFT(SuperMarket[[#This Row],[Date]],2)),"mmmm")</f>
        <v>February</v>
      </c>
    </row>
    <row r="191" spans="1:12" x14ac:dyDescent="0.3">
      <c r="A191" t="s">
        <v>617</v>
      </c>
      <c r="B191" s="3" t="s">
        <v>60</v>
      </c>
      <c r="C191" t="s">
        <v>10</v>
      </c>
      <c r="D191" t="s">
        <v>214</v>
      </c>
      <c r="E191" t="s">
        <v>215</v>
      </c>
      <c r="F191" t="s">
        <v>29</v>
      </c>
      <c r="G191" t="s">
        <v>14</v>
      </c>
      <c r="H191" s="1" t="s">
        <v>216</v>
      </c>
      <c r="I191" t="str">
        <f>UPPER(SuperMarket[Ville])</f>
        <v>GAROUA</v>
      </c>
      <c r="J191" t="str">
        <f>UPPER(SuperMarket[Marque])</f>
        <v>AZUR</v>
      </c>
      <c r="K191" s="5">
        <f>(SuperMarket[[#This Row],[Qté]]*SuperMarket[[#This Row],[Prix_Unit]])</f>
        <v>15000</v>
      </c>
      <c r="L191" s="4" t="str">
        <f>TEXT(DATE(RIGHT(SuperMarket[[#This Row],[Date]],4),MID(SuperMarket[[#This Row],[Date]],4,2),LEFT(SuperMarket[[#This Row],[Date]],2)),"mmmm")</f>
        <v>March</v>
      </c>
    </row>
    <row r="192" spans="1:12" x14ac:dyDescent="0.3">
      <c r="A192" t="s">
        <v>618</v>
      </c>
      <c r="B192" s="3" t="s">
        <v>249</v>
      </c>
      <c r="C192" t="s">
        <v>18</v>
      </c>
      <c r="D192" t="s">
        <v>279</v>
      </c>
      <c r="E192" t="s">
        <v>280</v>
      </c>
      <c r="F192" t="s">
        <v>37</v>
      </c>
      <c r="G192" t="s">
        <v>63</v>
      </c>
      <c r="H192" s="1" t="s">
        <v>31</v>
      </c>
      <c r="I192" t="str">
        <f>UPPER(SuperMarket[Ville])</f>
        <v>BAFOUSSAM</v>
      </c>
      <c r="J192" t="str">
        <f>UPPER(SuperMarket[Marque])</f>
        <v>LOTUS</v>
      </c>
      <c r="K192" s="5">
        <f>(SuperMarket[[#This Row],[Qté]]*SuperMarket[[#This Row],[Prix_Unit]])</f>
        <v>9600</v>
      </c>
      <c r="L192" s="4" t="str">
        <f>TEXT(DATE(RIGHT(SuperMarket[[#This Row],[Date]],4),MID(SuperMarket[[#This Row],[Date]],4,2),LEFT(SuperMarket[[#This Row],[Date]],2)),"mmmm")</f>
        <v>March</v>
      </c>
    </row>
    <row r="193" spans="1:12" x14ac:dyDescent="0.3">
      <c r="A193" t="s">
        <v>619</v>
      </c>
      <c r="B193" s="3" t="s">
        <v>254</v>
      </c>
      <c r="C193" t="s">
        <v>26</v>
      </c>
      <c r="D193" t="s">
        <v>112</v>
      </c>
      <c r="E193" t="s">
        <v>113</v>
      </c>
      <c r="F193" t="s">
        <v>13</v>
      </c>
      <c r="G193" t="s">
        <v>69</v>
      </c>
      <c r="H193" s="1" t="s">
        <v>45</v>
      </c>
      <c r="I193" t="str">
        <f>UPPER(SuperMarket[Ville])</f>
        <v>DOUALA</v>
      </c>
      <c r="J193" t="str">
        <f>UPPER(SuperMarket[Marque])</f>
        <v>DJINO</v>
      </c>
      <c r="K193" s="5">
        <f>(SuperMarket[[#This Row],[Qté]]*SuperMarket[[#This Row],[Prix_Unit]])</f>
        <v>7200</v>
      </c>
      <c r="L193" s="4" t="str">
        <f>TEXT(DATE(RIGHT(SuperMarket[[#This Row],[Date]],4),MID(SuperMarket[[#This Row],[Date]],4,2),LEFT(SuperMarket[[#This Row],[Date]],2)),"mmmm")</f>
        <v>March</v>
      </c>
    </row>
    <row r="194" spans="1:12" x14ac:dyDescent="0.3">
      <c r="A194" t="s">
        <v>620</v>
      </c>
      <c r="B194" s="3" t="s">
        <v>257</v>
      </c>
      <c r="C194" t="s">
        <v>10</v>
      </c>
      <c r="D194" t="s">
        <v>73</v>
      </c>
      <c r="E194" t="s">
        <v>74</v>
      </c>
      <c r="F194" t="s">
        <v>21</v>
      </c>
      <c r="G194" t="s">
        <v>109</v>
      </c>
      <c r="H194" s="1" t="s">
        <v>45</v>
      </c>
      <c r="I194" t="str">
        <f>UPPER(SuperMarket[Ville])</f>
        <v>YAOUNDÉ</v>
      </c>
      <c r="J194" t="str">
        <f>UPPER(SuperMarket[Marque])</f>
        <v>PANZANI</v>
      </c>
      <c r="K194" s="5">
        <f>(SuperMarket[[#This Row],[Qté]]*SuperMarket[[#This Row],[Prix_Unit]])</f>
        <v>18000</v>
      </c>
      <c r="L194" s="4" t="str">
        <f>TEXT(DATE(RIGHT(SuperMarket[[#This Row],[Date]],4),MID(SuperMarket[[#This Row],[Date]],4,2),LEFT(SuperMarket[[#This Row],[Date]],2)),"mmmm")</f>
        <v>March</v>
      </c>
    </row>
    <row r="195" spans="1:12" x14ac:dyDescent="0.3">
      <c r="A195" t="s">
        <v>621</v>
      </c>
      <c r="B195" s="3" t="s">
        <v>622</v>
      </c>
      <c r="C195" t="s">
        <v>34</v>
      </c>
      <c r="D195" t="s">
        <v>126</v>
      </c>
      <c r="E195" t="s">
        <v>127</v>
      </c>
      <c r="F195" t="s">
        <v>56</v>
      </c>
      <c r="G195" t="s">
        <v>44</v>
      </c>
      <c r="H195" s="1" t="s">
        <v>128</v>
      </c>
      <c r="I195" t="str">
        <f>UPPER(SuperMarket[Ville])</f>
        <v>KRIBI</v>
      </c>
      <c r="J195" t="str">
        <f>UPPER(SuperMarket[Marque])</f>
        <v>COLGATE</v>
      </c>
      <c r="K195" s="5">
        <f>(SuperMarket[[#This Row],[Qté]]*SuperMarket[[#This Row],[Prix_Unit]])</f>
        <v>12000</v>
      </c>
      <c r="L195" s="4" t="str">
        <f>TEXT(DATE(RIGHT(SuperMarket[[#This Row],[Date]],4),MID(SuperMarket[[#This Row],[Date]],4,2),LEFT(SuperMarket[[#This Row],[Date]],2)),"mmmm")</f>
        <v>April</v>
      </c>
    </row>
    <row r="196" spans="1:12" x14ac:dyDescent="0.3">
      <c r="A196" t="s">
        <v>623</v>
      </c>
      <c r="B196" s="3" t="s">
        <v>81</v>
      </c>
      <c r="C196" t="s">
        <v>18</v>
      </c>
      <c r="D196" t="s">
        <v>102</v>
      </c>
      <c r="E196" t="s">
        <v>103</v>
      </c>
      <c r="F196" t="s">
        <v>29</v>
      </c>
      <c r="G196" t="s">
        <v>14</v>
      </c>
      <c r="H196" s="1" t="s">
        <v>104</v>
      </c>
      <c r="I196" t="str">
        <f>UPPER(SuperMarket[Ville])</f>
        <v>GAROUA</v>
      </c>
      <c r="J196" t="str">
        <f>UPPER(SuperMarket[Marque])</f>
        <v>AIRWICK</v>
      </c>
      <c r="K196" s="5">
        <f>(SuperMarket[[#This Row],[Qté]]*SuperMarket[[#This Row],[Prix_Unit]])</f>
        <v>18000</v>
      </c>
      <c r="L196" s="4" t="str">
        <f>TEXT(DATE(RIGHT(SuperMarket[[#This Row],[Date]],4),MID(SuperMarket[[#This Row],[Date]],4,2),LEFT(SuperMarket[[#This Row],[Date]],2)),"mmmm")</f>
        <v>April</v>
      </c>
    </row>
    <row r="197" spans="1:12" x14ac:dyDescent="0.3">
      <c r="A197" t="s">
        <v>624</v>
      </c>
      <c r="B197" s="3" t="s">
        <v>625</v>
      </c>
      <c r="C197" t="s">
        <v>26</v>
      </c>
      <c r="D197" t="s">
        <v>389</v>
      </c>
      <c r="E197" t="s">
        <v>211</v>
      </c>
      <c r="F197" t="s">
        <v>37</v>
      </c>
      <c r="G197" t="s">
        <v>63</v>
      </c>
      <c r="H197" s="1" t="s">
        <v>180</v>
      </c>
      <c r="I197" t="str">
        <f>UPPER(SuperMarket[Ville])</f>
        <v>BAFOUSSAM</v>
      </c>
      <c r="J197" t="str">
        <f>UPPER(SuperMarket[Marque])</f>
        <v>SABC</v>
      </c>
      <c r="K197" s="5">
        <f>(SuperMarket[[#This Row],[Qté]]*SuperMarket[[#This Row],[Prix_Unit]])</f>
        <v>16800</v>
      </c>
      <c r="L197" s="4" t="str">
        <f>TEXT(DATE(RIGHT(SuperMarket[[#This Row],[Date]],4),MID(SuperMarket[[#This Row],[Date]],4,2),LEFT(SuperMarket[[#This Row],[Date]],2)),"mmmm")</f>
        <v>April</v>
      </c>
    </row>
    <row r="198" spans="1:12" x14ac:dyDescent="0.3">
      <c r="A198" t="s">
        <v>626</v>
      </c>
      <c r="B198" s="3" t="s">
        <v>627</v>
      </c>
      <c r="C198" t="s">
        <v>10</v>
      </c>
      <c r="D198" t="s">
        <v>582</v>
      </c>
      <c r="E198" t="s">
        <v>88</v>
      </c>
      <c r="F198" t="s">
        <v>13</v>
      </c>
      <c r="G198" t="s">
        <v>93</v>
      </c>
      <c r="H198" s="1" t="s">
        <v>58</v>
      </c>
      <c r="I198" t="str">
        <f>UPPER(SuperMarket[Ville])</f>
        <v>DOUALA</v>
      </c>
      <c r="J198" t="str">
        <f>UPPER(SuperMarket[Marque])</f>
        <v>SOSUCAM</v>
      </c>
      <c r="K198" s="5">
        <f>(SuperMarket[[#This Row],[Qté]]*SuperMarket[[#This Row],[Prix_Unit]])</f>
        <v>34000</v>
      </c>
      <c r="L198" s="4" t="str">
        <f>TEXT(DATE(RIGHT(SuperMarket[[#This Row],[Date]],4),MID(SuperMarket[[#This Row],[Date]],4,2),LEFT(SuperMarket[[#This Row],[Date]],2)),"mmmm")</f>
        <v>April</v>
      </c>
    </row>
    <row r="199" spans="1:12" x14ac:dyDescent="0.3">
      <c r="A199" t="s">
        <v>628</v>
      </c>
      <c r="B199" s="3" t="s">
        <v>282</v>
      </c>
      <c r="C199" t="s">
        <v>34</v>
      </c>
      <c r="D199" t="s">
        <v>373</v>
      </c>
      <c r="E199" t="s">
        <v>68</v>
      </c>
      <c r="F199" t="s">
        <v>21</v>
      </c>
      <c r="G199" t="s">
        <v>69</v>
      </c>
      <c r="H199" s="1" t="s">
        <v>70</v>
      </c>
      <c r="I199" t="str">
        <f>UPPER(SuperMarket[Ville])</f>
        <v>YAOUNDÉ</v>
      </c>
      <c r="J199" t="str">
        <f>UPPER(SuperMarket[Marque])</f>
        <v>CAMAY</v>
      </c>
      <c r="K199" s="5">
        <f>(SuperMarket[[#This Row],[Qté]]*SuperMarket[[#This Row],[Prix_Unit]])</f>
        <v>6000</v>
      </c>
      <c r="L199" s="4" t="str">
        <f>TEXT(DATE(RIGHT(SuperMarket[[#This Row],[Date]],4),MID(SuperMarket[[#This Row],[Date]],4,2),LEFT(SuperMarket[[#This Row],[Date]],2)),"mmmm")</f>
        <v>May</v>
      </c>
    </row>
    <row r="200" spans="1:12" x14ac:dyDescent="0.3">
      <c r="A200" t="s">
        <v>629</v>
      </c>
      <c r="B200" s="3" t="s">
        <v>285</v>
      </c>
      <c r="C200" t="s">
        <v>18</v>
      </c>
      <c r="D200" t="s">
        <v>82</v>
      </c>
      <c r="E200" t="s">
        <v>83</v>
      </c>
      <c r="F200" t="s">
        <v>29</v>
      </c>
      <c r="G200" t="s">
        <v>84</v>
      </c>
      <c r="H200" s="1" t="s">
        <v>51</v>
      </c>
      <c r="I200" t="str">
        <f>UPPER(SuperMarket[Ville])</f>
        <v>GAROUA</v>
      </c>
      <c r="J200" t="str">
        <f>UPPER(SuperMarket[Marque])</f>
        <v>PAIC</v>
      </c>
      <c r="K200" s="5">
        <f>(SuperMarket[[#This Row],[Qté]]*SuperMarket[[#This Row],[Prix_Unit]])</f>
        <v>6600</v>
      </c>
      <c r="L200" s="4" t="str">
        <f>TEXT(DATE(RIGHT(SuperMarket[[#This Row],[Date]],4),MID(SuperMarket[[#This Row],[Date]],4,2),LEFT(SuperMarket[[#This Row],[Date]],2)),"mmmm")</f>
        <v>May</v>
      </c>
    </row>
    <row r="201" spans="1:12" x14ac:dyDescent="0.3">
      <c r="A201" t="s">
        <v>630</v>
      </c>
      <c r="B201" s="3" t="s">
        <v>289</v>
      </c>
      <c r="C201" t="s">
        <v>26</v>
      </c>
      <c r="D201" t="s">
        <v>631</v>
      </c>
      <c r="E201" t="s">
        <v>28</v>
      </c>
      <c r="F201" t="s">
        <v>56</v>
      </c>
      <c r="G201" t="s">
        <v>539</v>
      </c>
      <c r="H201" s="1" t="s">
        <v>31</v>
      </c>
      <c r="I201" t="str">
        <f>UPPER(SuperMarket[Ville])</f>
        <v>KRIBI</v>
      </c>
      <c r="J201" t="str">
        <f>UPPER(SuperMarket[Marque])</f>
        <v>TANGUI</v>
      </c>
      <c r="K201" s="5">
        <f>(SuperMarket[[#This Row],[Qté]]*SuperMarket[[#This Row],[Prix_Unit]])</f>
        <v>24000</v>
      </c>
      <c r="L201" s="4" t="str">
        <f>TEXT(DATE(RIGHT(SuperMarket[[#This Row],[Date]],4),MID(SuperMarket[[#This Row],[Date]],4,2),LEFT(SuperMarket[[#This Row],[Date]],2)),"mmmm")</f>
        <v>May</v>
      </c>
    </row>
    <row r="202" spans="1:12" x14ac:dyDescent="0.3">
      <c r="A202" t="s">
        <v>632</v>
      </c>
      <c r="B202" s="3" t="s">
        <v>106</v>
      </c>
      <c r="C202" t="s">
        <v>10</v>
      </c>
      <c r="D202" t="s">
        <v>11</v>
      </c>
      <c r="E202" t="s">
        <v>614</v>
      </c>
      <c r="F202" t="s">
        <v>13</v>
      </c>
      <c r="G202" t="s">
        <v>14</v>
      </c>
      <c r="H202" s="1" t="s">
        <v>15</v>
      </c>
      <c r="I202" t="str">
        <f>UPPER(SuperMarket[Ville])</f>
        <v>DOUALA</v>
      </c>
      <c r="J202" t="str">
        <f>UPPER(SuperMarket[Marque])</f>
        <v>NEÏMA</v>
      </c>
      <c r="K202" s="5">
        <f>(SuperMarket[[#This Row],[Qté]]*SuperMarket[[#This Row],[Prix_Unit]])</f>
        <v>45000</v>
      </c>
      <c r="L202" s="4" t="str">
        <f>TEXT(DATE(RIGHT(SuperMarket[[#This Row],[Date]],4),MID(SuperMarket[[#This Row],[Date]],4,2),LEFT(SuperMarket[[#This Row],[Date]],2)),"mmmm")</f>
        <v>June</v>
      </c>
    </row>
    <row r="203" spans="1:12" x14ac:dyDescent="0.3">
      <c r="A203" t="s">
        <v>633</v>
      </c>
      <c r="B203" s="3" t="s">
        <v>445</v>
      </c>
      <c r="C203" t="s">
        <v>26</v>
      </c>
      <c r="D203" t="s">
        <v>210</v>
      </c>
      <c r="E203" t="s">
        <v>211</v>
      </c>
      <c r="F203" t="s">
        <v>21</v>
      </c>
      <c r="G203" t="s">
        <v>63</v>
      </c>
      <c r="H203" s="1" t="s">
        <v>45</v>
      </c>
      <c r="I203" t="str">
        <f>UPPER(SuperMarket[Ville])</f>
        <v>YAOUNDÉ</v>
      </c>
      <c r="J203" t="str">
        <f>UPPER(SuperMarket[Marque])</f>
        <v>SABC</v>
      </c>
      <c r="K203" s="5">
        <f>(SuperMarket[[#This Row],[Qté]]*SuperMarket[[#This Row],[Prix_Unit]])</f>
        <v>14400</v>
      </c>
      <c r="L203" s="4" t="str">
        <f>TEXT(DATE(RIGHT(SuperMarket[[#This Row],[Date]],4),MID(SuperMarket[[#This Row],[Date]],4,2),LEFT(SuperMarket[[#This Row],[Date]],2)),"mmmm")</f>
        <v>June</v>
      </c>
    </row>
    <row r="204" spans="1:12" x14ac:dyDescent="0.3">
      <c r="A204" t="s">
        <v>634</v>
      </c>
      <c r="B204" s="3" t="s">
        <v>448</v>
      </c>
      <c r="C204" t="s">
        <v>18</v>
      </c>
      <c r="D204" t="s">
        <v>19</v>
      </c>
      <c r="E204" t="s">
        <v>20</v>
      </c>
      <c r="F204" t="s">
        <v>29</v>
      </c>
      <c r="G204" t="s">
        <v>44</v>
      </c>
      <c r="H204" s="1" t="s">
        <v>23</v>
      </c>
      <c r="I204" t="str">
        <f>UPPER(SuperMarket[Ville])</f>
        <v>GAROUA</v>
      </c>
      <c r="J204" t="str">
        <f>UPPER(SuperMarket[Marque])</f>
        <v>OMO</v>
      </c>
      <c r="K204" s="5">
        <f>(SuperMarket[[#This Row],[Qté]]*SuperMarket[[#This Row],[Prix_Unit]])</f>
        <v>18000</v>
      </c>
      <c r="L204" s="4" t="str">
        <f>TEXT(DATE(RIGHT(SuperMarket[[#This Row],[Date]],4),MID(SuperMarket[[#This Row],[Date]],4,2),LEFT(SuperMarket[[#This Row],[Date]],2)),"mmmm")</f>
        <v>June</v>
      </c>
    </row>
    <row r="205" spans="1:12" x14ac:dyDescent="0.3">
      <c r="A205" t="s">
        <v>635</v>
      </c>
      <c r="B205" s="3" t="s">
        <v>452</v>
      </c>
      <c r="C205" t="s">
        <v>34</v>
      </c>
      <c r="D205" t="s">
        <v>35</v>
      </c>
      <c r="E205" t="s">
        <v>36</v>
      </c>
      <c r="F205" t="s">
        <v>37</v>
      </c>
      <c r="G205" t="s">
        <v>22</v>
      </c>
      <c r="H205" s="1" t="s">
        <v>39</v>
      </c>
      <c r="I205" t="str">
        <f>UPPER(SuperMarket[Ville])</f>
        <v>BAFOUSSAM</v>
      </c>
      <c r="J205" t="str">
        <f>UPPER(SuperMarket[Marque])</f>
        <v>NIVEA</v>
      </c>
      <c r="K205" s="5">
        <f>(SuperMarket[[#This Row],[Qté]]*SuperMarket[[#This Row],[Prix_Unit]])</f>
        <v>17500</v>
      </c>
      <c r="L205" s="4" t="str">
        <f>TEXT(DATE(RIGHT(SuperMarket[[#This Row],[Date]],4),MID(SuperMarket[[#This Row],[Date]],4,2),LEFT(SuperMarket[[#This Row],[Date]],2)),"mmmm")</f>
        <v>June</v>
      </c>
    </row>
    <row r="206" spans="1:12" x14ac:dyDescent="0.3">
      <c r="A206" t="s">
        <v>636</v>
      </c>
      <c r="B206" s="3" t="s">
        <v>456</v>
      </c>
      <c r="C206" t="s">
        <v>10</v>
      </c>
      <c r="D206" t="s">
        <v>48</v>
      </c>
      <c r="E206" t="s">
        <v>49</v>
      </c>
      <c r="F206" t="s">
        <v>56</v>
      </c>
      <c r="G206" t="s">
        <v>50</v>
      </c>
      <c r="H206" s="1" t="s">
        <v>51</v>
      </c>
      <c r="I206" t="str">
        <f>UPPER(SuperMarket[Ville])</f>
        <v>KRIBI</v>
      </c>
      <c r="J206" t="str">
        <f>UPPER(SuperMarket[Marque])</f>
        <v>JADIDA</v>
      </c>
      <c r="K206" s="5">
        <f>(SuperMarket[[#This Row],[Qté]]*SuperMarket[[#This Row],[Prix_Unit]])</f>
        <v>8800</v>
      </c>
      <c r="L206" s="4" t="str">
        <f>TEXT(DATE(RIGHT(SuperMarket[[#This Row],[Date]],4),MID(SuperMarket[[#This Row],[Date]],4,2),LEFT(SuperMarket[[#This Row],[Date]],2)),"mmmm")</f>
        <v>July</v>
      </c>
    </row>
    <row r="207" spans="1:12" x14ac:dyDescent="0.3">
      <c r="A207" t="s">
        <v>637</v>
      </c>
      <c r="B207" s="3" t="s">
        <v>121</v>
      </c>
      <c r="C207" t="s">
        <v>26</v>
      </c>
      <c r="D207" t="s">
        <v>27</v>
      </c>
      <c r="E207" t="s">
        <v>28</v>
      </c>
      <c r="F207" t="s">
        <v>13</v>
      </c>
      <c r="G207" t="s">
        <v>93</v>
      </c>
      <c r="H207" s="1" t="s">
        <v>31</v>
      </c>
      <c r="I207" t="str">
        <f>UPPER(SuperMarket[Ville])</f>
        <v>DOUALA</v>
      </c>
      <c r="J207" t="str">
        <f>UPPER(SuperMarket[Marque])</f>
        <v>TANGUI</v>
      </c>
      <c r="K207" s="5">
        <f>(SuperMarket[[#This Row],[Qté]]*SuperMarket[[#This Row],[Prix_Unit]])</f>
        <v>16000</v>
      </c>
      <c r="L207" s="4" t="str">
        <f>TEXT(DATE(RIGHT(SuperMarket[[#This Row],[Date]],4),MID(SuperMarket[[#This Row],[Date]],4,2),LEFT(SuperMarket[[#This Row],[Date]],2)),"mmmm")</f>
        <v>July</v>
      </c>
    </row>
    <row r="208" spans="1:12" x14ac:dyDescent="0.3">
      <c r="A208" t="s">
        <v>638</v>
      </c>
      <c r="B208" s="3" t="s">
        <v>566</v>
      </c>
      <c r="C208" t="s">
        <v>34</v>
      </c>
      <c r="D208" t="s">
        <v>314</v>
      </c>
      <c r="E208" t="s">
        <v>98</v>
      </c>
      <c r="F208" t="s">
        <v>21</v>
      </c>
      <c r="G208" t="s">
        <v>50</v>
      </c>
      <c r="H208" s="1" t="s">
        <v>99</v>
      </c>
      <c r="I208" t="str">
        <f>UPPER(SuperMarket[Ville])</f>
        <v>YAOUNDÉ</v>
      </c>
      <c r="J208" t="str">
        <f>UPPER(SuperMarket[Marque])</f>
        <v>DOVE</v>
      </c>
      <c r="K208" s="5">
        <f>(SuperMarket[[#This Row],[Qté]]*SuperMarket[[#This Row],[Prix_Unit]])</f>
        <v>20000</v>
      </c>
      <c r="L208" s="4" t="str">
        <f>TEXT(DATE(RIGHT(SuperMarket[[#This Row],[Date]],4),MID(SuperMarket[[#This Row],[Date]],4,2),LEFT(SuperMarket[[#This Row],[Date]],2)),"mmmm")</f>
        <v>July</v>
      </c>
    </row>
    <row r="209" spans="1:12" x14ac:dyDescent="0.3">
      <c r="A209" t="s">
        <v>639</v>
      </c>
      <c r="B209" s="3" t="s">
        <v>568</v>
      </c>
      <c r="C209" t="s">
        <v>18</v>
      </c>
      <c r="D209" t="s">
        <v>54</v>
      </c>
      <c r="E209" t="s">
        <v>55</v>
      </c>
      <c r="F209" t="s">
        <v>29</v>
      </c>
      <c r="G209" t="s">
        <v>69</v>
      </c>
      <c r="H209" s="1" t="s">
        <v>58</v>
      </c>
      <c r="I209" t="str">
        <f>UPPER(SuperMarket[Ville])</f>
        <v>GAROUA</v>
      </c>
      <c r="J209" t="str">
        <f>UPPER(SuperMarket[Marque])</f>
        <v>LACROIX</v>
      </c>
      <c r="K209" s="5">
        <f>(SuperMarket[[#This Row],[Qté]]*SuperMarket[[#This Row],[Prix_Unit]])</f>
        <v>10200</v>
      </c>
      <c r="L209" s="4" t="str">
        <f>TEXT(DATE(RIGHT(SuperMarket[[#This Row],[Date]],4),MID(SuperMarket[[#This Row],[Date]],4,2),LEFT(SuperMarket[[#This Row],[Date]],2)),"mmmm")</f>
        <v>August</v>
      </c>
    </row>
    <row r="210" spans="1:12" x14ac:dyDescent="0.3">
      <c r="A210" t="s">
        <v>640</v>
      </c>
      <c r="B210" s="3" t="s">
        <v>134</v>
      </c>
      <c r="C210" t="s">
        <v>26</v>
      </c>
      <c r="D210" t="s">
        <v>61</v>
      </c>
      <c r="E210" t="s">
        <v>62</v>
      </c>
      <c r="F210" t="s">
        <v>37</v>
      </c>
      <c r="G210" t="s">
        <v>63</v>
      </c>
      <c r="H210" s="1" t="s">
        <v>64</v>
      </c>
      <c r="I210" t="str">
        <f>UPPER(SuperMarket[Ville])</f>
        <v>BAFOUSSAM</v>
      </c>
      <c r="J210" t="str">
        <f>UPPER(SuperMarket[Marque])</f>
        <v>CASTEL</v>
      </c>
      <c r="K210" s="5">
        <f>(SuperMarket[[#This Row],[Qté]]*SuperMarket[[#This Row],[Prix_Unit]])</f>
        <v>15600</v>
      </c>
      <c r="L210" s="4" t="str">
        <f>TEXT(DATE(RIGHT(SuperMarket[[#This Row],[Date]],4),MID(SuperMarket[[#This Row],[Date]],4,2),LEFT(SuperMarket[[#This Row],[Date]],2)),"mmmm")</f>
        <v>August</v>
      </c>
    </row>
    <row r="211" spans="1:12" x14ac:dyDescent="0.3">
      <c r="A211" t="s">
        <v>641</v>
      </c>
      <c r="B211" s="3" t="s">
        <v>573</v>
      </c>
      <c r="C211" t="s">
        <v>10</v>
      </c>
      <c r="D211" t="s">
        <v>582</v>
      </c>
      <c r="E211" t="s">
        <v>88</v>
      </c>
      <c r="F211" t="s">
        <v>13</v>
      </c>
      <c r="G211" t="s">
        <v>44</v>
      </c>
      <c r="H211" s="1" t="s">
        <v>58</v>
      </c>
      <c r="I211" t="str">
        <f>UPPER(SuperMarket[Ville])</f>
        <v>DOUALA</v>
      </c>
      <c r="J211" t="str">
        <f>UPPER(SuperMarket[Marque])</f>
        <v>SOSUCAM</v>
      </c>
      <c r="K211" s="5">
        <f>(SuperMarket[[#This Row],[Qté]]*SuperMarket[[#This Row],[Prix_Unit]])</f>
        <v>12750</v>
      </c>
      <c r="L211" s="4" t="str">
        <f>TEXT(DATE(RIGHT(SuperMarket[[#This Row],[Date]],4),MID(SuperMarket[[#This Row],[Date]],4,2),LEFT(SuperMarket[[#This Row],[Date]],2)),"mmmm")</f>
        <v>August</v>
      </c>
    </row>
    <row r="212" spans="1:12" x14ac:dyDescent="0.3">
      <c r="A212" t="s">
        <v>642</v>
      </c>
      <c r="B212" s="3" t="s">
        <v>575</v>
      </c>
      <c r="C212" t="s">
        <v>34</v>
      </c>
      <c r="D212" t="s">
        <v>67</v>
      </c>
      <c r="E212" t="s">
        <v>68</v>
      </c>
      <c r="F212" t="s">
        <v>56</v>
      </c>
      <c r="G212" t="s">
        <v>109</v>
      </c>
      <c r="H212" s="1" t="s">
        <v>70</v>
      </c>
      <c r="I212" t="str">
        <f>UPPER(SuperMarket[Ville])</f>
        <v>KRIBI</v>
      </c>
      <c r="J212" t="str">
        <f>UPPER(SuperMarket[Marque])</f>
        <v>CAMAY</v>
      </c>
      <c r="K212" s="5">
        <f>(SuperMarket[[#This Row],[Qté]]*SuperMarket[[#This Row],[Prix_Unit]])</f>
        <v>15000</v>
      </c>
      <c r="L212" s="4" t="str">
        <f>TEXT(DATE(RIGHT(SuperMarket[[#This Row],[Date]],4),MID(SuperMarket[[#This Row],[Date]],4,2),LEFT(SuperMarket[[#This Row],[Date]],2)),"mmmm")</f>
        <v>September</v>
      </c>
    </row>
    <row r="213" spans="1:12" x14ac:dyDescent="0.3">
      <c r="A213" t="s">
        <v>643</v>
      </c>
      <c r="B213" s="3" t="s">
        <v>577</v>
      </c>
      <c r="C213" t="s">
        <v>26</v>
      </c>
      <c r="D213" t="s">
        <v>270</v>
      </c>
      <c r="E213" t="s">
        <v>271</v>
      </c>
      <c r="F213" t="s">
        <v>21</v>
      </c>
      <c r="G213" t="s">
        <v>69</v>
      </c>
      <c r="H213" s="1" t="s">
        <v>23</v>
      </c>
      <c r="I213" t="str">
        <f>UPPER(SuperMarket[Ville])</f>
        <v>YAOUNDÉ</v>
      </c>
      <c r="J213" t="str">
        <f>UPPER(SuperMarket[Marque])</f>
        <v>RAUCH</v>
      </c>
      <c r="K213" s="5">
        <f>(SuperMarket[[#This Row],[Qté]]*SuperMarket[[#This Row],[Prix_Unit]])</f>
        <v>14400</v>
      </c>
      <c r="L213" s="4" t="str">
        <f>TEXT(DATE(RIGHT(SuperMarket[[#This Row],[Date]],4),MID(SuperMarket[[#This Row],[Date]],4,2),LEFT(SuperMarket[[#This Row],[Date]],2)),"mmmm")</f>
        <v>September</v>
      </c>
    </row>
    <row r="214" spans="1:12" x14ac:dyDescent="0.3">
      <c r="A214" t="s">
        <v>644</v>
      </c>
      <c r="B214" s="3" t="s">
        <v>154</v>
      </c>
      <c r="C214" t="s">
        <v>10</v>
      </c>
      <c r="D214" t="s">
        <v>73</v>
      </c>
      <c r="E214" t="s">
        <v>74</v>
      </c>
      <c r="F214" t="s">
        <v>13</v>
      </c>
      <c r="G214" t="s">
        <v>137</v>
      </c>
      <c r="H214" s="1" t="s">
        <v>45</v>
      </c>
      <c r="I214" t="str">
        <f>UPPER(SuperMarket[Ville])</f>
        <v>DOUALA</v>
      </c>
      <c r="J214" t="str">
        <f>UPPER(SuperMarket[Marque])</f>
        <v>PANZANI</v>
      </c>
      <c r="K214" s="5">
        <f>(SuperMarket[[#This Row],[Qté]]*SuperMarket[[#This Row],[Prix_Unit]])</f>
        <v>30000</v>
      </c>
      <c r="L214" s="4" t="str">
        <f>TEXT(DATE(RIGHT(SuperMarket[[#This Row],[Date]],4),MID(SuperMarket[[#This Row],[Date]],4,2),LEFT(SuperMarket[[#This Row],[Date]],2)),"mmmm")</f>
        <v>September</v>
      </c>
    </row>
    <row r="215" spans="1:12" x14ac:dyDescent="0.3">
      <c r="A215" t="s">
        <v>645</v>
      </c>
      <c r="B215" s="3" t="s">
        <v>158</v>
      </c>
      <c r="C215" t="s">
        <v>18</v>
      </c>
      <c r="D215" t="s">
        <v>547</v>
      </c>
      <c r="E215" t="s">
        <v>189</v>
      </c>
      <c r="F215" t="s">
        <v>29</v>
      </c>
      <c r="G215" t="s">
        <v>44</v>
      </c>
      <c r="H215" s="1" t="s">
        <v>23</v>
      </c>
      <c r="I215" t="str">
        <f>UPPER(SuperMarket[Ville])</f>
        <v>GAROUA</v>
      </c>
      <c r="J215" t="str">
        <f>UPPER(SuperMarket[Marque])</f>
        <v>PROPRE</v>
      </c>
      <c r="K215" s="5">
        <f>(SuperMarket[[#This Row],[Qté]]*SuperMarket[[#This Row],[Prix_Unit]])</f>
        <v>18000</v>
      </c>
      <c r="L215" s="4" t="str">
        <f>TEXT(DATE(RIGHT(SuperMarket[[#This Row],[Date]],4),MID(SuperMarket[[#This Row],[Date]],4,2),LEFT(SuperMarket[[#This Row],[Date]],2)),"mmmm")</f>
        <v>October</v>
      </c>
    </row>
    <row r="216" spans="1:12" x14ac:dyDescent="0.3">
      <c r="A216" t="s">
        <v>646</v>
      </c>
      <c r="B216" s="3" t="s">
        <v>346</v>
      </c>
      <c r="C216" t="s">
        <v>26</v>
      </c>
      <c r="D216" t="s">
        <v>647</v>
      </c>
      <c r="E216" t="s">
        <v>43</v>
      </c>
      <c r="F216" t="s">
        <v>37</v>
      </c>
      <c r="G216" t="s">
        <v>30</v>
      </c>
      <c r="H216" s="1" t="s">
        <v>45</v>
      </c>
      <c r="I216" t="str">
        <f>UPPER(SuperMarket[Ville])</f>
        <v>BAFOUSSAM</v>
      </c>
      <c r="J216" t="str">
        <f>UPPER(SuperMarket[Marque])</f>
        <v>TOP</v>
      </c>
      <c r="K216" s="5">
        <f>(SuperMarket[[#This Row],[Qté]]*SuperMarket[[#This Row],[Prix_Unit]])</f>
        <v>12000</v>
      </c>
      <c r="L216" s="4" t="str">
        <f>TEXT(DATE(RIGHT(SuperMarket[[#This Row],[Date]],4),MID(SuperMarket[[#This Row],[Date]],4,2),LEFT(SuperMarket[[#This Row],[Date]],2)),"mmmm")</f>
        <v>October</v>
      </c>
    </row>
    <row r="217" spans="1:12" x14ac:dyDescent="0.3">
      <c r="A217" t="s">
        <v>648</v>
      </c>
      <c r="B217" s="3" t="s">
        <v>168</v>
      </c>
      <c r="C217" t="s">
        <v>10</v>
      </c>
      <c r="D217" t="s">
        <v>250</v>
      </c>
      <c r="E217" t="s">
        <v>251</v>
      </c>
      <c r="F217" t="s">
        <v>56</v>
      </c>
      <c r="G217" t="s">
        <v>14</v>
      </c>
      <c r="H217" s="1" t="s">
        <v>252</v>
      </c>
      <c r="I217" t="str">
        <f>UPPER(SuperMarket[Ville])</f>
        <v>KRIBI</v>
      </c>
      <c r="J217" t="str">
        <f>UPPER(SuperMarket[Marque])</f>
        <v>TANTY</v>
      </c>
      <c r="K217" s="5">
        <f>(SuperMarket[[#This Row],[Qté]]*SuperMarket[[#This Row],[Prix_Unit]])</f>
        <v>9500</v>
      </c>
      <c r="L217" s="4" t="str">
        <f>TEXT(DATE(RIGHT(SuperMarket[[#This Row],[Date]],4),MID(SuperMarket[[#This Row],[Date]],4,2),LEFT(SuperMarket[[#This Row],[Date]],2)),"mmmm")</f>
        <v>October</v>
      </c>
    </row>
    <row r="218" spans="1:12" x14ac:dyDescent="0.3">
      <c r="A218" t="s">
        <v>649</v>
      </c>
      <c r="B218" s="3" t="s">
        <v>172</v>
      </c>
      <c r="C218" t="s">
        <v>34</v>
      </c>
      <c r="D218" t="s">
        <v>126</v>
      </c>
      <c r="E218" t="s">
        <v>127</v>
      </c>
      <c r="F218" t="s">
        <v>13</v>
      </c>
      <c r="G218" t="s">
        <v>69</v>
      </c>
      <c r="H218" s="1" t="s">
        <v>128</v>
      </c>
      <c r="I218" t="str">
        <f>UPPER(SuperMarket[Ville])</f>
        <v>DOUALA</v>
      </c>
      <c r="J218" t="str">
        <f>UPPER(SuperMarket[Marque])</f>
        <v>COLGATE</v>
      </c>
      <c r="K218" s="5">
        <f>(SuperMarket[[#This Row],[Qté]]*SuperMarket[[#This Row],[Prix_Unit]])</f>
        <v>9600</v>
      </c>
      <c r="L218" s="4" t="str">
        <f>TEXT(DATE(RIGHT(SuperMarket[[#This Row],[Date]],4),MID(SuperMarket[[#This Row],[Date]],4,2),LEFT(SuperMarket[[#This Row],[Date]],2)),"mmmm")</f>
        <v>November</v>
      </c>
    </row>
    <row r="219" spans="1:12" x14ac:dyDescent="0.3">
      <c r="A219" t="s">
        <v>650</v>
      </c>
      <c r="B219" s="3" t="s">
        <v>497</v>
      </c>
      <c r="C219" t="s">
        <v>26</v>
      </c>
      <c r="D219" t="s">
        <v>225</v>
      </c>
      <c r="E219" t="s">
        <v>208</v>
      </c>
      <c r="F219" t="s">
        <v>21</v>
      </c>
      <c r="G219" t="s">
        <v>390</v>
      </c>
      <c r="H219" s="1" t="s">
        <v>64</v>
      </c>
      <c r="I219" t="str">
        <f>UPPER(SuperMarket[Ville])</f>
        <v>YAOUNDÉ</v>
      </c>
      <c r="J219" t="str">
        <f>UPPER(SuperMarket[Marque])</f>
        <v>GUINNESS</v>
      </c>
      <c r="K219" s="5">
        <f>(SuperMarket[[#This Row],[Qté]]*SuperMarket[[#This Row],[Prix_Unit]])</f>
        <v>23400</v>
      </c>
      <c r="L219" s="4" t="str">
        <f>TEXT(DATE(RIGHT(SuperMarket[[#This Row],[Date]],4),MID(SuperMarket[[#This Row],[Date]],4,2),LEFT(SuperMarket[[#This Row],[Date]],2)),"mmmm")</f>
        <v>November</v>
      </c>
    </row>
    <row r="220" spans="1:12" x14ac:dyDescent="0.3">
      <c r="A220" t="s">
        <v>651</v>
      </c>
      <c r="B220" s="3" t="s">
        <v>589</v>
      </c>
      <c r="C220" t="s">
        <v>18</v>
      </c>
      <c r="D220" t="s">
        <v>82</v>
      </c>
      <c r="E220" t="s">
        <v>83</v>
      </c>
      <c r="F220" t="s">
        <v>29</v>
      </c>
      <c r="G220" t="s">
        <v>84</v>
      </c>
      <c r="H220" s="1" t="s">
        <v>51</v>
      </c>
      <c r="I220" t="str">
        <f>UPPER(SuperMarket[Ville])</f>
        <v>GAROUA</v>
      </c>
      <c r="J220" t="str">
        <f>UPPER(SuperMarket[Marque])</f>
        <v>PAIC</v>
      </c>
      <c r="K220" s="5">
        <f>(SuperMarket[[#This Row],[Qté]]*SuperMarket[[#This Row],[Prix_Unit]])</f>
        <v>6600</v>
      </c>
      <c r="L220" s="4" t="str">
        <f>TEXT(DATE(RIGHT(SuperMarket[[#This Row],[Date]],4),MID(SuperMarket[[#This Row],[Date]],4,2),LEFT(SuperMarket[[#This Row],[Date]],2)),"mmmm")</f>
        <v>November</v>
      </c>
    </row>
    <row r="221" spans="1:12" x14ac:dyDescent="0.3">
      <c r="A221" t="s">
        <v>652</v>
      </c>
      <c r="B221" s="3" t="s">
        <v>592</v>
      </c>
      <c r="C221" t="s">
        <v>10</v>
      </c>
      <c r="D221" t="s">
        <v>498</v>
      </c>
      <c r="E221" t="s">
        <v>499</v>
      </c>
      <c r="F221" t="s">
        <v>37</v>
      </c>
      <c r="G221" t="s">
        <v>22</v>
      </c>
      <c r="H221" s="1" t="s">
        <v>39</v>
      </c>
      <c r="I221" t="str">
        <f>UPPER(SuperMarket[Ville])</f>
        <v>BAFOUSSAM</v>
      </c>
      <c r="J221" t="str">
        <f>UPPER(SuperMarket[Marque])</f>
        <v>CIGALE</v>
      </c>
      <c r="K221" s="5">
        <f>(SuperMarket[[#This Row],[Qté]]*SuperMarket[[#This Row],[Prix_Unit]])</f>
        <v>17500</v>
      </c>
      <c r="L221" s="4" t="str">
        <f>TEXT(DATE(RIGHT(SuperMarket[[#This Row],[Date]],4),MID(SuperMarket[[#This Row],[Date]],4,2),LEFT(SuperMarket[[#This Row],[Date]],2)),"mmmm")</f>
        <v>November</v>
      </c>
    </row>
    <row r="222" spans="1:12" x14ac:dyDescent="0.3">
      <c r="A222" t="s">
        <v>653</v>
      </c>
      <c r="B222" s="3" t="s">
        <v>187</v>
      </c>
      <c r="C222" t="s">
        <v>26</v>
      </c>
      <c r="D222" t="s">
        <v>207</v>
      </c>
      <c r="E222" t="s">
        <v>208</v>
      </c>
      <c r="F222" t="s">
        <v>13</v>
      </c>
      <c r="G222" t="s">
        <v>63</v>
      </c>
      <c r="H222" s="1" t="s">
        <v>128</v>
      </c>
      <c r="I222" t="str">
        <f>UPPER(SuperMarket[Ville])</f>
        <v>DOUALA</v>
      </c>
      <c r="J222" t="str">
        <f>UPPER(SuperMarket[Marque])</f>
        <v>GUINNESS</v>
      </c>
      <c r="K222" s="5">
        <f>(SuperMarket[[#This Row],[Qté]]*SuperMarket[[#This Row],[Prix_Unit]])</f>
        <v>19200</v>
      </c>
      <c r="L222" s="4" t="str">
        <f>TEXT(DATE(RIGHT(SuperMarket[[#This Row],[Date]],4),MID(SuperMarket[[#This Row],[Date]],4,2),LEFT(SuperMarket[[#This Row],[Date]],2)),"mmmm")</f>
        <v>December</v>
      </c>
    </row>
    <row r="223" spans="1:12" x14ac:dyDescent="0.3">
      <c r="A223" t="s">
        <v>654</v>
      </c>
      <c r="B223" s="3" t="s">
        <v>511</v>
      </c>
      <c r="C223" t="s">
        <v>10</v>
      </c>
      <c r="D223" t="s">
        <v>347</v>
      </c>
      <c r="E223" t="s">
        <v>348</v>
      </c>
      <c r="F223" t="s">
        <v>21</v>
      </c>
      <c r="G223" t="s">
        <v>14</v>
      </c>
      <c r="H223" s="1" t="s">
        <v>104</v>
      </c>
      <c r="I223" t="str">
        <f>UPPER(SuperMarket[Ville])</f>
        <v>YAOUNDÉ</v>
      </c>
      <c r="J223" t="str">
        <f>UPPER(SuperMarket[Marque])</f>
        <v>CHOCOCAM</v>
      </c>
      <c r="K223" s="5">
        <f>(SuperMarket[[#This Row],[Qté]]*SuperMarket[[#This Row],[Prix_Unit]])</f>
        <v>18000</v>
      </c>
      <c r="L223" s="4" t="str">
        <f>TEXT(DATE(RIGHT(SuperMarket[[#This Row],[Date]],4),MID(SuperMarket[[#This Row],[Date]],4,2),LEFT(SuperMarket[[#This Row],[Date]],2)),"mmmm")</f>
        <v>December</v>
      </c>
    </row>
    <row r="224" spans="1:12" x14ac:dyDescent="0.3">
      <c r="A224" t="s">
        <v>655</v>
      </c>
      <c r="B224" s="3" t="s">
        <v>516</v>
      </c>
      <c r="C224" t="s">
        <v>26</v>
      </c>
      <c r="D224" t="s">
        <v>600</v>
      </c>
      <c r="E224" t="s">
        <v>78</v>
      </c>
      <c r="F224" t="s">
        <v>29</v>
      </c>
      <c r="G224" t="s">
        <v>84</v>
      </c>
      <c r="H224" s="1" t="s">
        <v>15</v>
      </c>
      <c r="I224" t="str">
        <f>UPPER(SuperMarket[Ville])</f>
        <v>GAROUA</v>
      </c>
      <c r="J224" t="str">
        <f>UPPER(SuperMarket[Marque])</f>
        <v>BVC</v>
      </c>
      <c r="K224" s="5">
        <f>(SuperMarket[[#This Row],[Qté]]*SuperMarket[[#This Row],[Prix_Unit]])</f>
        <v>27000</v>
      </c>
      <c r="L224" s="4" t="str">
        <f>TEXT(DATE(RIGHT(SuperMarket[[#This Row],[Date]],4),MID(SuperMarket[[#This Row],[Date]],4,2),LEFT(SuperMarket[[#This Row],[Date]],2)),"mmmm")</f>
        <v>December</v>
      </c>
    </row>
    <row r="225" spans="1:12" x14ac:dyDescent="0.3">
      <c r="A225" t="s">
        <v>656</v>
      </c>
      <c r="B225" s="3" t="s">
        <v>201</v>
      </c>
      <c r="C225" t="s">
        <v>10</v>
      </c>
      <c r="D225" t="s">
        <v>366</v>
      </c>
      <c r="E225" t="s">
        <v>199</v>
      </c>
      <c r="F225" t="s">
        <v>13</v>
      </c>
      <c r="G225" t="s">
        <v>38</v>
      </c>
      <c r="H225" s="1" t="s">
        <v>367</v>
      </c>
      <c r="I225" t="str">
        <f>UPPER(SuperMarket[Ville])</f>
        <v>DOUALA</v>
      </c>
      <c r="J225" t="str">
        <f>UPPER(SuperMarket[Marque])</f>
        <v>AGROCAM</v>
      </c>
      <c r="K225" s="5">
        <f>(SuperMarket[[#This Row],[Qté]]*SuperMarket[[#This Row],[Prix_Unit]])</f>
        <v>25000</v>
      </c>
      <c r="L225" s="4" t="str">
        <f>TEXT(DATE(RIGHT(SuperMarket[[#This Row],[Date]],4),MID(SuperMarket[[#This Row],[Date]],4,2),LEFT(SuperMarket[[#This Row],[Date]],2)),"mmmm")</f>
        <v>December</v>
      </c>
    </row>
    <row r="226" spans="1:12" x14ac:dyDescent="0.3">
      <c r="A226" t="s">
        <v>657</v>
      </c>
      <c r="B226" s="3" t="s">
        <v>206</v>
      </c>
      <c r="C226" t="s">
        <v>34</v>
      </c>
      <c r="D226" t="s">
        <v>373</v>
      </c>
      <c r="E226" t="s">
        <v>98</v>
      </c>
      <c r="F226" t="s">
        <v>37</v>
      </c>
      <c r="G226" t="s">
        <v>69</v>
      </c>
      <c r="H226" s="1" t="s">
        <v>152</v>
      </c>
      <c r="I226" t="str">
        <f>UPPER(SuperMarket[Ville])</f>
        <v>BAFOUSSAM</v>
      </c>
      <c r="J226" t="str">
        <f>UPPER(SuperMarket[Marque])</f>
        <v>DOVE</v>
      </c>
      <c r="K226" s="5">
        <f>(SuperMarket[[#This Row],[Qté]]*SuperMarket[[#This Row],[Prix_Unit]])</f>
        <v>26400</v>
      </c>
      <c r="L226" s="4" t="str">
        <f>TEXT(DATE(RIGHT(SuperMarket[[#This Row],[Date]],4),MID(SuperMarket[[#This Row],[Date]],4,2),LEFT(SuperMarket[[#This Row],[Date]],2)),"mmmm")</f>
        <v>December</v>
      </c>
    </row>
    <row r="227" spans="1:12" x14ac:dyDescent="0.3">
      <c r="A227" t="s">
        <v>658</v>
      </c>
      <c r="B227" s="3" t="s">
        <v>9</v>
      </c>
      <c r="C227" t="s">
        <v>18</v>
      </c>
      <c r="D227" t="s">
        <v>122</v>
      </c>
      <c r="E227" t="s">
        <v>123</v>
      </c>
      <c r="F227" t="s">
        <v>56</v>
      </c>
      <c r="G227" t="s">
        <v>57</v>
      </c>
      <c r="H227" s="1" t="s">
        <v>15</v>
      </c>
      <c r="I227" t="str">
        <f>UPPER(SuperMarket[Ville])</f>
        <v>KRIBI</v>
      </c>
      <c r="J227" t="str">
        <f>UPPER(SuperMarket[Marque])</f>
        <v>ARIEL</v>
      </c>
      <c r="K227" s="5">
        <f>(SuperMarket[[#This Row],[Qté]]*SuperMarket[[#This Row],[Prix_Unit]])</f>
        <v>18000</v>
      </c>
      <c r="L227" s="4" t="str">
        <f>TEXT(DATE(RIGHT(SuperMarket[[#This Row],[Date]],4),MID(SuperMarket[[#This Row],[Date]],4,2),LEFT(SuperMarket[[#This Row],[Date]],2)),"mmmm")</f>
        <v>January</v>
      </c>
    </row>
    <row r="228" spans="1:12" x14ac:dyDescent="0.3">
      <c r="A228" t="s">
        <v>659</v>
      </c>
      <c r="B228" s="3" t="s">
        <v>17</v>
      </c>
      <c r="C228" t="s">
        <v>10</v>
      </c>
      <c r="D228" t="s">
        <v>135</v>
      </c>
      <c r="E228" t="s">
        <v>136</v>
      </c>
      <c r="F228" t="s">
        <v>21</v>
      </c>
      <c r="G228" t="s">
        <v>137</v>
      </c>
      <c r="H228" s="1" t="s">
        <v>138</v>
      </c>
      <c r="I228" t="str">
        <f>UPPER(SuperMarket[Ville])</f>
        <v>YAOUNDÉ</v>
      </c>
      <c r="J228" t="str">
        <f>UPPER(SuperMarket[Marque])</f>
        <v>UCV</v>
      </c>
      <c r="K228" s="5">
        <f>(SuperMarket[[#This Row],[Qté]]*SuperMarket[[#This Row],[Prix_Unit]])</f>
        <v>12500</v>
      </c>
      <c r="L228" s="4" t="str">
        <f>TEXT(DATE(RIGHT(SuperMarket[[#This Row],[Date]],4),MID(SuperMarket[[#This Row],[Date]],4,2),LEFT(SuperMarket[[#This Row],[Date]],2)),"mmmm")</f>
        <v>January</v>
      </c>
    </row>
    <row r="229" spans="1:12" x14ac:dyDescent="0.3">
      <c r="A229" t="s">
        <v>660</v>
      </c>
      <c r="B229" s="3" t="s">
        <v>220</v>
      </c>
      <c r="C229" t="s">
        <v>26</v>
      </c>
      <c r="D229" t="s">
        <v>91</v>
      </c>
      <c r="E229" t="s">
        <v>92</v>
      </c>
      <c r="F229" t="s">
        <v>13</v>
      </c>
      <c r="G229" t="s">
        <v>93</v>
      </c>
      <c r="H229" s="1" t="s">
        <v>94</v>
      </c>
      <c r="I229" t="str">
        <f>UPPER(SuperMarket[Ville])</f>
        <v>DOUALA</v>
      </c>
      <c r="J229" t="str">
        <f>UPPER(SuperMarket[Marque])</f>
        <v>SEME</v>
      </c>
      <c r="K229" s="5">
        <f>(SuperMarket[[#This Row],[Qté]]*SuperMarket[[#This Row],[Prix_Unit]])</f>
        <v>14000</v>
      </c>
      <c r="L229" s="4" t="str">
        <f>TEXT(DATE(RIGHT(SuperMarket[[#This Row],[Date]],4),MID(SuperMarket[[#This Row],[Date]],4,2),LEFT(SuperMarket[[#This Row],[Date]],2)),"mmmm")</f>
        <v>January</v>
      </c>
    </row>
    <row r="230" spans="1:12" x14ac:dyDescent="0.3">
      <c r="A230" t="s">
        <v>661</v>
      </c>
      <c r="B230" s="3" t="s">
        <v>662</v>
      </c>
      <c r="C230" t="s">
        <v>34</v>
      </c>
      <c r="D230" t="s">
        <v>258</v>
      </c>
      <c r="E230" t="s">
        <v>259</v>
      </c>
      <c r="F230" t="s">
        <v>29</v>
      </c>
      <c r="G230" t="s">
        <v>79</v>
      </c>
      <c r="H230" s="1" t="s">
        <v>260</v>
      </c>
      <c r="I230" t="str">
        <f>UPPER(SuperMarket[Ville])</f>
        <v>GAROUA</v>
      </c>
      <c r="J230" t="str">
        <f>UPPER(SuperMarket[Marque])</f>
        <v>TOPICREM</v>
      </c>
      <c r="K230" s="5">
        <f>(SuperMarket[[#This Row],[Qté]]*SuperMarket[[#This Row],[Prix_Unit]])</f>
        <v>25500</v>
      </c>
      <c r="L230" s="4" t="str">
        <f>TEXT(DATE(RIGHT(SuperMarket[[#This Row],[Date]],4),MID(SuperMarket[[#This Row],[Date]],4,2),LEFT(SuperMarket[[#This Row],[Date]],2)),"mmmm")</f>
        <v>January</v>
      </c>
    </row>
    <row r="231" spans="1:12" x14ac:dyDescent="0.3">
      <c r="A231" t="s">
        <v>663</v>
      </c>
      <c r="B231" s="3" t="s">
        <v>664</v>
      </c>
      <c r="C231" t="s">
        <v>18</v>
      </c>
      <c r="D231" t="s">
        <v>611</v>
      </c>
      <c r="E231" t="s">
        <v>165</v>
      </c>
      <c r="F231" t="s">
        <v>37</v>
      </c>
      <c r="G231" t="s">
        <v>50</v>
      </c>
      <c r="H231" s="1" t="s">
        <v>166</v>
      </c>
      <c r="I231" t="str">
        <f>UPPER(SuperMarket[Ville])</f>
        <v>BAFOUSSAM</v>
      </c>
      <c r="J231" t="str">
        <f>UPPER(SuperMarket[Marque])</f>
        <v>AJAX</v>
      </c>
      <c r="K231" s="5">
        <f>(SuperMarket[[#This Row],[Qté]]*SuperMarket[[#This Row],[Prix_Unit]])</f>
        <v>11200</v>
      </c>
      <c r="L231" s="4" t="str">
        <f>TEXT(DATE(RIGHT(SuperMarket[[#This Row],[Date]],4),MID(SuperMarket[[#This Row],[Date]],4,2),LEFT(SuperMarket[[#This Row],[Date]],2)),"mmmm")</f>
        <v>February</v>
      </c>
    </row>
    <row r="232" spans="1:12" x14ac:dyDescent="0.3">
      <c r="A232" t="s">
        <v>665</v>
      </c>
      <c r="B232" s="3" t="s">
        <v>47</v>
      </c>
      <c r="C232" t="s">
        <v>10</v>
      </c>
      <c r="D232" t="s">
        <v>227</v>
      </c>
      <c r="E232" t="s">
        <v>228</v>
      </c>
      <c r="F232" t="s">
        <v>13</v>
      </c>
      <c r="G232" t="s">
        <v>666</v>
      </c>
      <c r="H232" s="1" t="s">
        <v>185</v>
      </c>
      <c r="I232" t="str">
        <f>UPPER(SuperMarket[Ville])</f>
        <v>DOUALA</v>
      </c>
      <c r="J232" t="str">
        <f>UPPER(SuperMarket[Marque])</f>
        <v>MAMAN</v>
      </c>
      <c r="K232" s="5">
        <f>(SuperMarket[[#This Row],[Qté]]*SuperMarket[[#This Row],[Prix_Unit]])</f>
        <v>20250</v>
      </c>
      <c r="L232" s="4" t="str">
        <f>TEXT(DATE(RIGHT(SuperMarket[[#This Row],[Date]],4),MID(SuperMarket[[#This Row],[Date]],4,2),LEFT(SuperMarket[[#This Row],[Date]],2)),"mmmm")</f>
        <v>February</v>
      </c>
    </row>
    <row r="233" spans="1:12" x14ac:dyDescent="0.3">
      <c r="A233" t="s">
        <v>667</v>
      </c>
      <c r="B233" s="3" t="s">
        <v>53</v>
      </c>
      <c r="C233" t="s">
        <v>26</v>
      </c>
      <c r="D233" t="s">
        <v>231</v>
      </c>
      <c r="E233" t="s">
        <v>211</v>
      </c>
      <c r="F233" t="s">
        <v>21</v>
      </c>
      <c r="G233" t="s">
        <v>63</v>
      </c>
      <c r="H233" s="1" t="s">
        <v>70</v>
      </c>
      <c r="I233" t="str">
        <f>UPPER(SuperMarket[Ville])</f>
        <v>YAOUNDÉ</v>
      </c>
      <c r="J233" t="str">
        <f>UPPER(SuperMarket[Marque])</f>
        <v>SABC</v>
      </c>
      <c r="K233" s="5">
        <f>(SuperMarket[[#This Row],[Qté]]*SuperMarket[[#This Row],[Prix_Unit]])</f>
        <v>12000</v>
      </c>
      <c r="L233" s="4" t="str">
        <f>TEXT(DATE(RIGHT(SuperMarket[[#This Row],[Date]],4),MID(SuperMarket[[#This Row],[Date]],4,2),LEFT(SuperMarket[[#This Row],[Date]],2)),"mmmm")</f>
        <v>February</v>
      </c>
    </row>
    <row r="234" spans="1:12" x14ac:dyDescent="0.3">
      <c r="A234" t="s">
        <v>668</v>
      </c>
      <c r="B234" s="3" t="s">
        <v>60</v>
      </c>
      <c r="C234" t="s">
        <v>34</v>
      </c>
      <c r="D234" t="s">
        <v>150</v>
      </c>
      <c r="E234" t="s">
        <v>151</v>
      </c>
      <c r="F234" t="s">
        <v>29</v>
      </c>
      <c r="G234" t="s">
        <v>22</v>
      </c>
      <c r="H234" s="1" t="s">
        <v>152</v>
      </c>
      <c r="I234" t="str">
        <f>UPPER(SuperMarket[Ville])</f>
        <v>GAROUA</v>
      </c>
      <c r="J234" t="str">
        <f>UPPER(SuperMarket[Marque])</f>
        <v>MIXA</v>
      </c>
      <c r="K234" s="5">
        <f>(SuperMarket[[#This Row],[Qté]]*SuperMarket[[#This Row],[Prix_Unit]])</f>
        <v>11000</v>
      </c>
      <c r="L234" s="4" t="str">
        <f>TEXT(DATE(RIGHT(SuperMarket[[#This Row],[Date]],4),MID(SuperMarket[[#This Row],[Date]],4,2),LEFT(SuperMarket[[#This Row],[Date]],2)),"mmmm")</f>
        <v>March</v>
      </c>
    </row>
    <row r="235" spans="1:12" x14ac:dyDescent="0.3">
      <c r="A235" t="s">
        <v>669</v>
      </c>
      <c r="B235" s="3" t="s">
        <v>66</v>
      </c>
      <c r="C235" t="s">
        <v>18</v>
      </c>
      <c r="D235" t="s">
        <v>397</v>
      </c>
      <c r="E235" t="s">
        <v>142</v>
      </c>
      <c r="F235" t="s">
        <v>13</v>
      </c>
      <c r="G235" t="s">
        <v>109</v>
      </c>
      <c r="H235" s="1" t="s">
        <v>143</v>
      </c>
      <c r="I235" t="str">
        <f>UPPER(SuperMarket[Ville])</f>
        <v>DOUALA</v>
      </c>
      <c r="J235" t="str">
        <f>UPPER(SuperMarket[Marque])</f>
        <v>SCOTCH</v>
      </c>
      <c r="K235" s="5">
        <f>(SuperMarket[[#This Row],[Qté]]*SuperMarket[[#This Row],[Prix_Unit]])</f>
        <v>9000</v>
      </c>
      <c r="L235" s="4" t="str">
        <f>TEXT(DATE(RIGHT(SuperMarket[[#This Row],[Date]],4),MID(SuperMarket[[#This Row],[Date]],4,2),LEFT(SuperMarket[[#This Row],[Date]],2)),"mmmm")</f>
        <v>March</v>
      </c>
    </row>
    <row r="236" spans="1:12" x14ac:dyDescent="0.3">
      <c r="A236" t="s">
        <v>670</v>
      </c>
      <c r="B236" s="3" t="s">
        <v>411</v>
      </c>
      <c r="C236" t="s">
        <v>10</v>
      </c>
      <c r="D236" t="s">
        <v>155</v>
      </c>
      <c r="E236" t="s">
        <v>156</v>
      </c>
      <c r="F236" t="s">
        <v>56</v>
      </c>
      <c r="G236" t="s">
        <v>57</v>
      </c>
      <c r="H236" s="1" t="s">
        <v>104</v>
      </c>
      <c r="I236" t="str">
        <f>UPPER(SuperMarket[Ville])</f>
        <v>KRIBI</v>
      </c>
      <c r="J236" t="str">
        <f>UPPER(SuperMarket[Marque])</f>
        <v>BAMA</v>
      </c>
      <c r="K236" s="5">
        <f>(SuperMarket[[#This Row],[Qté]]*SuperMarket[[#This Row],[Prix_Unit]])</f>
        <v>7200</v>
      </c>
      <c r="L236" s="4" t="str">
        <f>TEXT(DATE(RIGHT(SuperMarket[[#This Row],[Date]],4),MID(SuperMarket[[#This Row],[Date]],4,2),LEFT(SuperMarket[[#This Row],[Date]],2)),"mmmm")</f>
        <v>March</v>
      </c>
    </row>
    <row r="237" spans="1:12" x14ac:dyDescent="0.3">
      <c r="A237" t="s">
        <v>671</v>
      </c>
      <c r="B237" s="3" t="s">
        <v>262</v>
      </c>
      <c r="C237" t="s">
        <v>26</v>
      </c>
      <c r="D237" t="s">
        <v>672</v>
      </c>
      <c r="E237" t="s">
        <v>211</v>
      </c>
      <c r="F237" t="s">
        <v>37</v>
      </c>
      <c r="G237" t="s">
        <v>30</v>
      </c>
      <c r="H237" s="1" t="s">
        <v>45</v>
      </c>
      <c r="I237" t="str">
        <f>UPPER(SuperMarket[Ville])</f>
        <v>BAFOUSSAM</v>
      </c>
      <c r="J237" t="str">
        <f>UPPER(SuperMarket[Marque])</f>
        <v>SABC</v>
      </c>
      <c r="K237" s="5">
        <f>(SuperMarket[[#This Row],[Qté]]*SuperMarket[[#This Row],[Prix_Unit]])</f>
        <v>12000</v>
      </c>
      <c r="L237" s="4" t="str">
        <f>TEXT(DATE(RIGHT(SuperMarket[[#This Row],[Date]],4),MID(SuperMarket[[#This Row],[Date]],4,2),LEFT(SuperMarket[[#This Row],[Date]],2)),"mmmm")</f>
        <v>April</v>
      </c>
    </row>
    <row r="238" spans="1:12" x14ac:dyDescent="0.3">
      <c r="A238" t="s">
        <v>673</v>
      </c>
      <c r="B238" s="3" t="s">
        <v>81</v>
      </c>
      <c r="C238" t="s">
        <v>10</v>
      </c>
      <c r="D238" t="s">
        <v>116</v>
      </c>
      <c r="E238" t="s">
        <v>117</v>
      </c>
      <c r="F238" t="s">
        <v>21</v>
      </c>
      <c r="G238" t="s">
        <v>118</v>
      </c>
      <c r="H238" s="1" t="s">
        <v>119</v>
      </c>
      <c r="I238" t="str">
        <f>UPPER(SuperMarket[Ville])</f>
        <v>YAOUNDÉ</v>
      </c>
      <c r="J238" t="str">
        <f>UPPER(SuperMarket[Marque])</f>
        <v>SGMC</v>
      </c>
      <c r="K238" s="5">
        <f>(SuperMarket[[#This Row],[Qté]]*SuperMarket[[#This Row],[Prix_Unit]])</f>
        <v>18750</v>
      </c>
      <c r="L238" s="4" t="str">
        <f>TEXT(DATE(RIGHT(SuperMarket[[#This Row],[Date]],4),MID(SuperMarket[[#This Row],[Date]],4,2),LEFT(SuperMarket[[#This Row],[Date]],2)),"mmmm")</f>
        <v>April</v>
      </c>
    </row>
    <row r="239" spans="1:12" x14ac:dyDescent="0.3">
      <c r="A239" t="s">
        <v>674</v>
      </c>
      <c r="B239" s="3" t="s">
        <v>273</v>
      </c>
      <c r="C239" t="s">
        <v>34</v>
      </c>
      <c r="D239" t="s">
        <v>221</v>
      </c>
      <c r="E239" t="s">
        <v>222</v>
      </c>
      <c r="F239" t="s">
        <v>13</v>
      </c>
      <c r="G239" t="s">
        <v>44</v>
      </c>
      <c r="H239" s="1" t="s">
        <v>70</v>
      </c>
      <c r="I239" t="str">
        <f>UPPER(SuperMarket[Ville])</f>
        <v>DOUALA</v>
      </c>
      <c r="J239" t="str">
        <f>UPPER(SuperMarket[Marque])</f>
        <v>BIO</v>
      </c>
      <c r="K239" s="5">
        <f>(SuperMarket[[#This Row],[Qté]]*SuperMarket[[#This Row],[Prix_Unit]])</f>
        <v>7500</v>
      </c>
      <c r="L239" s="4" t="str">
        <f>TEXT(DATE(RIGHT(SuperMarket[[#This Row],[Date]],4),MID(SuperMarket[[#This Row],[Date]],4,2),LEFT(SuperMarket[[#This Row],[Date]],2)),"mmmm")</f>
        <v>April</v>
      </c>
    </row>
    <row r="240" spans="1:12" x14ac:dyDescent="0.3">
      <c r="A240" t="s">
        <v>675</v>
      </c>
      <c r="B240" s="3" t="s">
        <v>278</v>
      </c>
      <c r="C240" t="s">
        <v>18</v>
      </c>
      <c r="D240" t="s">
        <v>102</v>
      </c>
      <c r="E240" t="s">
        <v>103</v>
      </c>
      <c r="F240" t="s">
        <v>29</v>
      </c>
      <c r="G240" t="s">
        <v>14</v>
      </c>
      <c r="H240" s="1" t="s">
        <v>104</v>
      </c>
      <c r="I240" t="str">
        <f>UPPER(SuperMarket[Ville])</f>
        <v>GAROUA</v>
      </c>
      <c r="J240" t="str">
        <f>UPPER(SuperMarket[Marque])</f>
        <v>AIRWICK</v>
      </c>
      <c r="K240" s="5">
        <f>(SuperMarket[[#This Row],[Qté]]*SuperMarket[[#This Row],[Prix_Unit]])</f>
        <v>18000</v>
      </c>
      <c r="L240" s="4" t="str">
        <f>TEXT(DATE(RIGHT(SuperMarket[[#This Row],[Date]],4),MID(SuperMarket[[#This Row],[Date]],4,2),LEFT(SuperMarket[[#This Row],[Date]],2)),"mmmm")</f>
        <v>April</v>
      </c>
    </row>
    <row r="241" spans="1:12" x14ac:dyDescent="0.3">
      <c r="A241" t="s">
        <v>676</v>
      </c>
      <c r="B241" s="3" t="s">
        <v>677</v>
      </c>
      <c r="C241" t="s">
        <v>26</v>
      </c>
      <c r="D241" t="s">
        <v>631</v>
      </c>
      <c r="E241" t="s">
        <v>28</v>
      </c>
      <c r="F241" t="s">
        <v>56</v>
      </c>
      <c r="G241" t="s">
        <v>539</v>
      </c>
      <c r="H241" s="1" t="s">
        <v>31</v>
      </c>
      <c r="I241" t="str">
        <f>UPPER(SuperMarket[Ville])</f>
        <v>KRIBI</v>
      </c>
      <c r="J241" t="str">
        <f>UPPER(SuperMarket[Marque])</f>
        <v>TANGUI</v>
      </c>
      <c r="K241" s="5">
        <f>(SuperMarket[[#This Row],[Qté]]*SuperMarket[[#This Row],[Prix_Unit]])</f>
        <v>24000</v>
      </c>
      <c r="L241" s="4" t="str">
        <f>TEXT(DATE(RIGHT(SuperMarket[[#This Row],[Date]],4),MID(SuperMarket[[#This Row],[Date]],4,2),LEFT(SuperMarket[[#This Row],[Date]],2)),"mmmm")</f>
        <v>May</v>
      </c>
    </row>
    <row r="242" spans="1:12" x14ac:dyDescent="0.3">
      <c r="A242" t="s">
        <v>678</v>
      </c>
      <c r="B242" s="3" t="s">
        <v>289</v>
      </c>
      <c r="C242" t="s">
        <v>10</v>
      </c>
      <c r="D242" t="s">
        <v>107</v>
      </c>
      <c r="E242" t="s">
        <v>108</v>
      </c>
      <c r="F242" t="s">
        <v>13</v>
      </c>
      <c r="G242" t="s">
        <v>109</v>
      </c>
      <c r="H242" s="1" t="s">
        <v>45</v>
      </c>
      <c r="I242" t="str">
        <f>UPPER(SuperMarket[Ville])</f>
        <v>DOUALA</v>
      </c>
      <c r="J242" t="str">
        <f>UPPER(SuperMarket[Marque])</f>
        <v>CONNETABLE</v>
      </c>
      <c r="K242" s="5">
        <f>(SuperMarket[[#This Row],[Qté]]*SuperMarket[[#This Row],[Prix_Unit]])</f>
        <v>18000</v>
      </c>
      <c r="L242" s="4" t="str">
        <f>TEXT(DATE(RIGHT(SuperMarket[[#This Row],[Date]],4),MID(SuperMarket[[#This Row],[Date]],4,2),LEFT(SuperMarket[[#This Row],[Date]],2)),"mmmm")</f>
        <v>May</v>
      </c>
    </row>
    <row r="243" spans="1:12" x14ac:dyDescent="0.3">
      <c r="A243" t="s">
        <v>679</v>
      </c>
      <c r="B243" s="3" t="s">
        <v>680</v>
      </c>
      <c r="C243" t="s">
        <v>34</v>
      </c>
      <c r="D243" t="s">
        <v>286</v>
      </c>
      <c r="E243" t="s">
        <v>287</v>
      </c>
      <c r="F243" t="s">
        <v>21</v>
      </c>
      <c r="G243" t="s">
        <v>69</v>
      </c>
      <c r="H243" s="1" t="s">
        <v>216</v>
      </c>
      <c r="I243" t="str">
        <f>UPPER(SuperMarket[Ville])</f>
        <v>YAOUNDÉ</v>
      </c>
      <c r="J243" t="str">
        <f>UPPER(SuperMarket[Marque])</f>
        <v>ORAL-B</v>
      </c>
      <c r="K243" s="5">
        <f>(SuperMarket[[#This Row],[Qté]]*SuperMarket[[#This Row],[Prix_Unit]])</f>
        <v>18000</v>
      </c>
      <c r="L243" s="4" t="str">
        <f>TEXT(DATE(RIGHT(SuperMarket[[#This Row],[Date]],4),MID(SuperMarket[[#This Row],[Date]],4,2),LEFT(SuperMarket[[#This Row],[Date]],2)),"mmmm")</f>
        <v>May</v>
      </c>
    </row>
    <row r="244" spans="1:12" x14ac:dyDescent="0.3">
      <c r="A244" t="s">
        <v>681</v>
      </c>
      <c r="B244" s="3" t="s">
        <v>106</v>
      </c>
      <c r="C244" t="s">
        <v>18</v>
      </c>
      <c r="D244" t="s">
        <v>324</v>
      </c>
      <c r="E244" t="s">
        <v>325</v>
      </c>
      <c r="F244" t="s">
        <v>29</v>
      </c>
      <c r="G244" t="s">
        <v>30</v>
      </c>
      <c r="H244" s="1" t="s">
        <v>23</v>
      </c>
      <c r="I244" t="str">
        <f>UPPER(SuperMarket[Ville])</f>
        <v>GAROUA</v>
      </c>
      <c r="J244" t="str">
        <f>UPPER(SuperMarket[Marque])</f>
        <v>OKI</v>
      </c>
      <c r="K244" s="5">
        <f>(SuperMarket[[#This Row],[Qté]]*SuperMarket[[#This Row],[Prix_Unit]])</f>
        <v>24000</v>
      </c>
      <c r="L244" s="4" t="str">
        <f>TEXT(DATE(RIGHT(SuperMarket[[#This Row],[Date]],4),MID(SuperMarket[[#This Row],[Date]],4,2),LEFT(SuperMarket[[#This Row],[Date]],2)),"mmmm")</f>
        <v>June</v>
      </c>
    </row>
    <row r="245" spans="1:12" x14ac:dyDescent="0.3">
      <c r="A245" t="s">
        <v>682</v>
      </c>
      <c r="B245" s="3" t="s">
        <v>111</v>
      </c>
      <c r="C245" t="s">
        <v>26</v>
      </c>
      <c r="D245" t="s">
        <v>112</v>
      </c>
      <c r="E245" t="s">
        <v>113</v>
      </c>
      <c r="F245" t="s">
        <v>37</v>
      </c>
      <c r="G245" t="s">
        <v>69</v>
      </c>
      <c r="H245" s="1" t="s">
        <v>45</v>
      </c>
      <c r="I245" t="str">
        <f>UPPER(SuperMarket[Ville])</f>
        <v>BAFOUSSAM</v>
      </c>
      <c r="J245" t="str">
        <f>UPPER(SuperMarket[Marque])</f>
        <v>DJINO</v>
      </c>
      <c r="K245" s="5">
        <f>(SuperMarket[[#This Row],[Qté]]*SuperMarket[[#This Row],[Prix_Unit]])</f>
        <v>7200</v>
      </c>
      <c r="L245" s="4" t="str">
        <f>TEXT(DATE(RIGHT(SuperMarket[[#This Row],[Date]],4),MID(SuperMarket[[#This Row],[Date]],4,2),LEFT(SuperMarket[[#This Row],[Date]],2)),"mmmm")</f>
        <v>June</v>
      </c>
    </row>
    <row r="246" spans="1:12" x14ac:dyDescent="0.3">
      <c r="A246" t="s">
        <v>683</v>
      </c>
      <c r="B246" s="3" t="s">
        <v>684</v>
      </c>
      <c r="C246" t="s">
        <v>10</v>
      </c>
      <c r="D246" t="s">
        <v>590</v>
      </c>
      <c r="E246" t="s">
        <v>267</v>
      </c>
      <c r="F246" t="s">
        <v>13</v>
      </c>
      <c r="G246" t="s">
        <v>84</v>
      </c>
      <c r="H246" s="1" t="s">
        <v>39</v>
      </c>
      <c r="I246" t="str">
        <f>UPPER(SuperMarket[Ville])</f>
        <v>DOUALA</v>
      </c>
      <c r="J246" t="str">
        <f>UPPER(SuperMarket[Marque])</f>
        <v>NESCAFE</v>
      </c>
      <c r="K246" s="5">
        <f>(SuperMarket[[#This Row],[Qté]]*SuperMarket[[#This Row],[Prix_Unit]])</f>
        <v>21000</v>
      </c>
      <c r="L246" s="4" t="str">
        <f>TEXT(DATE(RIGHT(SuperMarket[[#This Row],[Date]],4),MID(SuperMarket[[#This Row],[Date]],4,2),LEFT(SuperMarket[[#This Row],[Date]],2)),"mmmm")</f>
        <v>June</v>
      </c>
    </row>
    <row r="247" spans="1:12" x14ac:dyDescent="0.3">
      <c r="A247" t="s">
        <v>685</v>
      </c>
      <c r="B247" s="3" t="s">
        <v>456</v>
      </c>
      <c r="C247" t="s">
        <v>34</v>
      </c>
      <c r="D247" t="s">
        <v>97</v>
      </c>
      <c r="E247" t="s">
        <v>98</v>
      </c>
      <c r="F247" t="s">
        <v>56</v>
      </c>
      <c r="G247" t="s">
        <v>57</v>
      </c>
      <c r="H247" s="1" t="s">
        <v>99</v>
      </c>
      <c r="I247" t="str">
        <f>UPPER(SuperMarket[Ville])</f>
        <v>KRIBI</v>
      </c>
      <c r="J247" t="str">
        <f>UPPER(SuperMarket[Marque])</f>
        <v>DOVE</v>
      </c>
      <c r="K247" s="5">
        <f>(SuperMarket[[#This Row],[Qté]]*SuperMarket[[#This Row],[Prix_Unit]])</f>
        <v>10000</v>
      </c>
      <c r="L247" s="4" t="str">
        <f>TEXT(DATE(RIGHT(SuperMarket[[#This Row],[Date]],4),MID(SuperMarket[[#This Row],[Date]],4,2),LEFT(SuperMarket[[#This Row],[Date]],2)),"mmmm")</f>
        <v>July</v>
      </c>
    </row>
    <row r="248" spans="1:12" x14ac:dyDescent="0.3">
      <c r="A248" t="s">
        <v>686</v>
      </c>
      <c r="B248" s="3" t="s">
        <v>687</v>
      </c>
      <c r="C248" t="s">
        <v>26</v>
      </c>
      <c r="D248" t="s">
        <v>131</v>
      </c>
      <c r="E248" t="s">
        <v>132</v>
      </c>
      <c r="F248" t="s">
        <v>21</v>
      </c>
      <c r="G248" t="s">
        <v>30</v>
      </c>
      <c r="H248" s="1" t="s">
        <v>70</v>
      </c>
      <c r="I248" t="str">
        <f>UPPER(SuperMarket[Ville])</f>
        <v>YAOUNDÉ</v>
      </c>
      <c r="J248" t="str">
        <f>UPPER(SuperMarket[Marque])</f>
        <v>DOLAIT</v>
      </c>
      <c r="K248" s="5">
        <f>(SuperMarket[[#This Row],[Qté]]*SuperMarket[[#This Row],[Prix_Unit]])</f>
        <v>10000</v>
      </c>
      <c r="L248" s="4" t="str">
        <f>TEXT(DATE(RIGHT(SuperMarket[[#This Row],[Date]],4),MID(SuperMarket[[#This Row],[Date]],4,2),LEFT(SuperMarket[[#This Row],[Date]],2)),"mmmm")</f>
        <v>July</v>
      </c>
    </row>
    <row r="249" spans="1:12" x14ac:dyDescent="0.3">
      <c r="A249" t="s">
        <v>688</v>
      </c>
      <c r="B249" s="3" t="s">
        <v>566</v>
      </c>
      <c r="C249" t="s">
        <v>18</v>
      </c>
      <c r="D249" t="s">
        <v>54</v>
      </c>
      <c r="E249" t="s">
        <v>55</v>
      </c>
      <c r="F249" t="s">
        <v>13</v>
      </c>
      <c r="G249" t="s">
        <v>14</v>
      </c>
      <c r="H249" s="1" t="s">
        <v>58</v>
      </c>
      <c r="I249" t="str">
        <f>UPPER(SuperMarket[Ville])</f>
        <v>DOUALA</v>
      </c>
      <c r="J249" t="str">
        <f>UPPER(SuperMarket[Marque])</f>
        <v>LACROIX</v>
      </c>
      <c r="K249" s="5">
        <f>(SuperMarket[[#This Row],[Qté]]*SuperMarket[[#This Row],[Prix_Unit]])</f>
        <v>8500</v>
      </c>
      <c r="L249" s="4" t="str">
        <f>TEXT(DATE(RIGHT(SuperMarket[[#This Row],[Date]],4),MID(SuperMarket[[#This Row],[Date]],4,2),LEFT(SuperMarket[[#This Row],[Date]],2)),"mmmm")</f>
        <v>July</v>
      </c>
    </row>
    <row r="250" spans="1:12" x14ac:dyDescent="0.3">
      <c r="A250" t="s">
        <v>689</v>
      </c>
      <c r="B250" s="3" t="s">
        <v>130</v>
      </c>
      <c r="C250" t="s">
        <v>10</v>
      </c>
      <c r="D250" t="s">
        <v>214</v>
      </c>
      <c r="E250" t="s">
        <v>215</v>
      </c>
      <c r="F250" t="s">
        <v>29</v>
      </c>
      <c r="G250" t="s">
        <v>22</v>
      </c>
      <c r="H250" s="1" t="s">
        <v>216</v>
      </c>
      <c r="I250" t="str">
        <f>UPPER(SuperMarket[Ville])</f>
        <v>GAROUA</v>
      </c>
      <c r="J250" t="str">
        <f>UPPER(SuperMarket[Marque])</f>
        <v>AZUR</v>
      </c>
      <c r="K250" s="5">
        <f>(SuperMarket[[#This Row],[Qté]]*SuperMarket[[#This Row],[Prix_Unit]])</f>
        <v>7500</v>
      </c>
      <c r="L250" s="4" t="str">
        <f>TEXT(DATE(RIGHT(SuperMarket[[#This Row],[Date]],4),MID(SuperMarket[[#This Row],[Date]],4,2),LEFT(SuperMarket[[#This Row],[Date]],2)),"mmmm")</f>
        <v>August</v>
      </c>
    </row>
    <row r="251" spans="1:12" x14ac:dyDescent="0.3">
      <c r="A251" t="s">
        <v>690</v>
      </c>
      <c r="B251" s="3" t="s">
        <v>691</v>
      </c>
      <c r="C251" t="s">
        <v>26</v>
      </c>
      <c r="D251" t="s">
        <v>556</v>
      </c>
      <c r="E251" t="s">
        <v>211</v>
      </c>
      <c r="F251" t="s">
        <v>37</v>
      </c>
      <c r="G251" t="s">
        <v>390</v>
      </c>
      <c r="H251" s="1" t="s">
        <v>180</v>
      </c>
      <c r="I251" t="str">
        <f>UPPER(SuperMarket[Ville])</f>
        <v>BAFOUSSAM</v>
      </c>
      <c r="J251" t="str">
        <f>UPPER(SuperMarket[Marque])</f>
        <v>SABC</v>
      </c>
      <c r="K251" s="5">
        <f>(SuperMarket[[#This Row],[Qté]]*SuperMarket[[#This Row],[Prix_Unit]])</f>
        <v>25200</v>
      </c>
      <c r="L251" s="4" t="str">
        <f>TEXT(DATE(RIGHT(SuperMarket[[#This Row],[Date]],4),MID(SuperMarket[[#This Row],[Date]],4,2),LEFT(SuperMarket[[#This Row],[Date]],2)),"mmmm")</f>
        <v>August</v>
      </c>
    </row>
    <row r="252" spans="1:12" x14ac:dyDescent="0.3">
      <c r="A252" t="s">
        <v>692</v>
      </c>
      <c r="B252" s="3" t="s">
        <v>140</v>
      </c>
      <c r="C252" t="s">
        <v>10</v>
      </c>
      <c r="D252" t="s">
        <v>498</v>
      </c>
      <c r="E252" t="s">
        <v>499</v>
      </c>
      <c r="F252" t="s">
        <v>13</v>
      </c>
      <c r="G252" t="s">
        <v>14</v>
      </c>
      <c r="H252" s="1" t="s">
        <v>39</v>
      </c>
      <c r="I252" t="str">
        <f>UPPER(SuperMarket[Ville])</f>
        <v>DOUALA</v>
      </c>
      <c r="J252" t="str">
        <f>UPPER(SuperMarket[Marque])</f>
        <v>CIGALE</v>
      </c>
      <c r="K252" s="5">
        <f>(SuperMarket[[#This Row],[Qté]]*SuperMarket[[#This Row],[Prix_Unit]])</f>
        <v>35000</v>
      </c>
      <c r="L252" s="4" t="str">
        <f>TEXT(DATE(RIGHT(SuperMarket[[#This Row],[Date]],4),MID(SuperMarket[[#This Row],[Date]],4,2),LEFT(SuperMarket[[#This Row],[Date]],2)),"mmmm")</f>
        <v>August</v>
      </c>
    </row>
    <row r="253" spans="1:12" x14ac:dyDescent="0.3">
      <c r="A253" t="s">
        <v>693</v>
      </c>
      <c r="B253" s="3" t="s">
        <v>575</v>
      </c>
      <c r="C253" t="s">
        <v>34</v>
      </c>
      <c r="D253" t="s">
        <v>67</v>
      </c>
      <c r="E253" t="s">
        <v>68</v>
      </c>
      <c r="F253" t="s">
        <v>21</v>
      </c>
      <c r="G253" t="s">
        <v>69</v>
      </c>
      <c r="H253" s="1" t="s">
        <v>70</v>
      </c>
      <c r="I253" t="str">
        <f>UPPER(SuperMarket[Ville])</f>
        <v>YAOUNDÉ</v>
      </c>
      <c r="J253" t="str">
        <f>UPPER(SuperMarket[Marque])</f>
        <v>CAMAY</v>
      </c>
      <c r="K253" s="5">
        <f>(SuperMarket[[#This Row],[Qté]]*SuperMarket[[#This Row],[Prix_Unit]])</f>
        <v>6000</v>
      </c>
      <c r="L253" s="4" t="str">
        <f>TEXT(DATE(RIGHT(SuperMarket[[#This Row],[Date]],4),MID(SuperMarket[[#This Row],[Date]],4,2),LEFT(SuperMarket[[#This Row],[Date]],2)),"mmmm")</f>
        <v>September</v>
      </c>
    </row>
    <row r="254" spans="1:12" x14ac:dyDescent="0.3">
      <c r="A254" t="s">
        <v>694</v>
      </c>
      <c r="B254" s="3" t="s">
        <v>577</v>
      </c>
      <c r="C254" t="s">
        <v>26</v>
      </c>
      <c r="D254" t="s">
        <v>178</v>
      </c>
      <c r="E254" t="s">
        <v>179</v>
      </c>
      <c r="F254" t="s">
        <v>29</v>
      </c>
      <c r="G254" t="s">
        <v>30</v>
      </c>
      <c r="H254" s="1" t="s">
        <v>180</v>
      </c>
      <c r="I254" t="str">
        <f>UPPER(SuperMarket[Ville])</f>
        <v>GAROUA</v>
      </c>
      <c r="J254" t="str">
        <f>UPPER(SuperMarket[Marque])</f>
        <v>KADJI</v>
      </c>
      <c r="K254" s="5">
        <f>(SuperMarket[[#This Row],[Qté]]*SuperMarket[[#This Row],[Prix_Unit]])</f>
        <v>14000</v>
      </c>
      <c r="L254" s="4" t="str">
        <f>TEXT(DATE(RIGHT(SuperMarket[[#This Row],[Date]],4),MID(SuperMarket[[#This Row],[Date]],4,2),LEFT(SuperMarket[[#This Row],[Date]],2)),"mmmm")</f>
        <v>September</v>
      </c>
    </row>
    <row r="255" spans="1:12" x14ac:dyDescent="0.3">
      <c r="A255" t="s">
        <v>695</v>
      </c>
      <c r="B255" s="3" t="s">
        <v>696</v>
      </c>
      <c r="C255" t="s">
        <v>18</v>
      </c>
      <c r="D255" t="s">
        <v>263</v>
      </c>
      <c r="E255" t="s">
        <v>165</v>
      </c>
      <c r="F255" t="s">
        <v>13</v>
      </c>
      <c r="G255" t="s">
        <v>14</v>
      </c>
      <c r="H255" s="1" t="s">
        <v>166</v>
      </c>
      <c r="I255" t="str">
        <f>UPPER(SuperMarket[Ville])</f>
        <v>DOUALA</v>
      </c>
      <c r="J255" t="str">
        <f>UPPER(SuperMarket[Marque])</f>
        <v>AJAX</v>
      </c>
      <c r="K255" s="5">
        <f>(SuperMarket[[#This Row],[Qté]]*SuperMarket[[#This Row],[Prix_Unit]])</f>
        <v>14000</v>
      </c>
      <c r="L255" s="4" t="str">
        <f>TEXT(DATE(RIGHT(SuperMarket[[#This Row],[Date]],4),MID(SuperMarket[[#This Row],[Date]],4,2),LEFT(SuperMarket[[#This Row],[Date]],2)),"mmmm")</f>
        <v>September</v>
      </c>
    </row>
    <row r="256" spans="1:12" x14ac:dyDescent="0.3">
      <c r="A256" t="s">
        <v>697</v>
      </c>
      <c r="B256" s="3" t="s">
        <v>158</v>
      </c>
      <c r="C256" t="s">
        <v>10</v>
      </c>
      <c r="D256" t="s">
        <v>558</v>
      </c>
      <c r="E256" t="s">
        <v>170</v>
      </c>
      <c r="F256" t="s">
        <v>56</v>
      </c>
      <c r="G256" t="s">
        <v>84</v>
      </c>
      <c r="H256" s="1" t="s">
        <v>99</v>
      </c>
      <c r="I256" t="str">
        <f>UPPER(SuperMarket[Ville])</f>
        <v>KRIBI</v>
      </c>
      <c r="J256" t="str">
        <f>UPPER(SuperMarket[Marque])</f>
        <v>TARTINA</v>
      </c>
      <c r="K256" s="5">
        <f>(SuperMarket[[#This Row],[Qté]]*SuperMarket[[#This Row],[Prix_Unit]])</f>
        <v>15000</v>
      </c>
      <c r="L256" s="4" t="str">
        <f>TEXT(DATE(RIGHT(SuperMarket[[#This Row],[Date]],4),MID(SuperMarket[[#This Row],[Date]],4,2),LEFT(SuperMarket[[#This Row],[Date]],2)),"mmmm")</f>
        <v>October</v>
      </c>
    </row>
    <row r="257" spans="1:12" x14ac:dyDescent="0.3">
      <c r="A257" t="s">
        <v>698</v>
      </c>
      <c r="B257" s="3" t="s">
        <v>699</v>
      </c>
      <c r="C257" t="s">
        <v>26</v>
      </c>
      <c r="D257" t="s">
        <v>61</v>
      </c>
      <c r="E257" t="s">
        <v>62</v>
      </c>
      <c r="F257" t="s">
        <v>21</v>
      </c>
      <c r="G257" t="s">
        <v>63</v>
      </c>
      <c r="H257" s="1" t="s">
        <v>64</v>
      </c>
      <c r="I257" t="str">
        <f>UPPER(SuperMarket[Ville])</f>
        <v>YAOUNDÉ</v>
      </c>
      <c r="J257" t="str">
        <f>UPPER(SuperMarket[Marque])</f>
        <v>CASTEL</v>
      </c>
      <c r="K257" s="5">
        <f>(SuperMarket[[#This Row],[Qté]]*SuperMarket[[#This Row],[Prix_Unit]])</f>
        <v>15600</v>
      </c>
      <c r="L257" s="4" t="str">
        <f>TEXT(DATE(RIGHT(SuperMarket[[#This Row],[Date]],4),MID(SuperMarket[[#This Row],[Date]],4,2),LEFT(SuperMarket[[#This Row],[Date]],2)),"mmmm")</f>
        <v>October</v>
      </c>
    </row>
    <row r="258" spans="1:12" x14ac:dyDescent="0.3">
      <c r="A258" t="s">
        <v>700</v>
      </c>
      <c r="B258" s="3" t="s">
        <v>168</v>
      </c>
      <c r="C258" t="s">
        <v>10</v>
      </c>
      <c r="D258" t="s">
        <v>73</v>
      </c>
      <c r="E258" t="s">
        <v>74</v>
      </c>
      <c r="F258" t="s">
        <v>13</v>
      </c>
      <c r="G258" t="s">
        <v>109</v>
      </c>
      <c r="H258" s="1" t="s">
        <v>45</v>
      </c>
      <c r="I258" t="str">
        <f>UPPER(SuperMarket[Ville])</f>
        <v>DOUALA</v>
      </c>
      <c r="J258" t="str">
        <f>UPPER(SuperMarket[Marque])</f>
        <v>PANZANI</v>
      </c>
      <c r="K258" s="5">
        <f>(SuperMarket[[#This Row],[Qté]]*SuperMarket[[#This Row],[Prix_Unit]])</f>
        <v>18000</v>
      </c>
      <c r="L258" s="4" t="str">
        <f>TEXT(DATE(RIGHT(SuperMarket[[#This Row],[Date]],4),MID(SuperMarket[[#This Row],[Date]],4,2),LEFT(SuperMarket[[#This Row],[Date]],2)),"mmmm")</f>
        <v>October</v>
      </c>
    </row>
    <row r="259" spans="1:12" x14ac:dyDescent="0.3">
      <c r="A259" t="s">
        <v>701</v>
      </c>
      <c r="B259" s="3" t="s">
        <v>702</v>
      </c>
      <c r="C259" t="s">
        <v>34</v>
      </c>
      <c r="D259" t="s">
        <v>551</v>
      </c>
      <c r="E259" t="s">
        <v>36</v>
      </c>
      <c r="F259" t="s">
        <v>29</v>
      </c>
      <c r="G259" t="s">
        <v>50</v>
      </c>
      <c r="H259" s="1" t="s">
        <v>352</v>
      </c>
      <c r="I259" t="str">
        <f>UPPER(SuperMarket[Ville])</f>
        <v>GAROUA</v>
      </c>
      <c r="J259" t="str">
        <f>UPPER(SuperMarket[Marque])</f>
        <v>NIVEA</v>
      </c>
      <c r="K259" s="5">
        <f>(SuperMarket[[#This Row],[Qté]]*SuperMarket[[#This Row],[Prix_Unit]])</f>
        <v>25600</v>
      </c>
      <c r="L259" s="4" t="str">
        <f>TEXT(DATE(RIGHT(SuperMarket[[#This Row],[Date]],4),MID(SuperMarket[[#This Row],[Date]],4,2),LEFT(SuperMarket[[#This Row],[Date]],2)),"mmmm")</f>
        <v>November</v>
      </c>
    </row>
    <row r="260" spans="1:12" x14ac:dyDescent="0.3">
      <c r="A260" t="s">
        <v>703</v>
      </c>
      <c r="B260" s="3" t="s">
        <v>356</v>
      </c>
      <c r="C260" t="s">
        <v>26</v>
      </c>
      <c r="D260" t="s">
        <v>303</v>
      </c>
      <c r="E260" t="s">
        <v>211</v>
      </c>
      <c r="F260" t="s">
        <v>37</v>
      </c>
      <c r="G260" t="s">
        <v>109</v>
      </c>
      <c r="H260" s="1" t="s">
        <v>45</v>
      </c>
      <c r="I260" t="str">
        <f>UPPER(SuperMarket[Ville])</f>
        <v>BAFOUSSAM</v>
      </c>
      <c r="J260" t="str">
        <f>UPPER(SuperMarket[Marque])</f>
        <v>SABC</v>
      </c>
      <c r="K260" s="5">
        <f>(SuperMarket[[#This Row],[Qté]]*SuperMarket[[#This Row],[Prix_Unit]])</f>
        <v>18000</v>
      </c>
      <c r="L260" s="4" t="str">
        <f>TEXT(DATE(RIGHT(SuperMarket[[#This Row],[Date]],4),MID(SuperMarket[[#This Row],[Date]],4,2),LEFT(SuperMarket[[#This Row],[Date]],2)),"mmmm")</f>
        <v>November</v>
      </c>
    </row>
    <row r="261" spans="1:12" x14ac:dyDescent="0.3">
      <c r="A261" t="s">
        <v>704</v>
      </c>
      <c r="B261" s="3" t="s">
        <v>360</v>
      </c>
      <c r="C261" t="s">
        <v>18</v>
      </c>
      <c r="D261" t="s">
        <v>547</v>
      </c>
      <c r="E261" t="s">
        <v>189</v>
      </c>
      <c r="F261" t="s">
        <v>13</v>
      </c>
      <c r="G261" t="s">
        <v>30</v>
      </c>
      <c r="H261" s="1" t="s">
        <v>23</v>
      </c>
      <c r="I261" t="str">
        <f>UPPER(SuperMarket[Ville])</f>
        <v>DOUALA</v>
      </c>
      <c r="J261" t="str">
        <f>UPPER(SuperMarket[Marque])</f>
        <v>PROPRE</v>
      </c>
      <c r="K261" s="5">
        <f>(SuperMarket[[#This Row],[Qté]]*SuperMarket[[#This Row],[Prix_Unit]])</f>
        <v>24000</v>
      </c>
      <c r="L261" s="4" t="str">
        <f>TEXT(DATE(RIGHT(SuperMarket[[#This Row],[Date]],4),MID(SuperMarket[[#This Row],[Date]],4,2),LEFT(SuperMarket[[#This Row],[Date]],2)),"mmmm")</f>
        <v>November</v>
      </c>
    </row>
    <row r="262" spans="1:12" x14ac:dyDescent="0.3">
      <c r="A262" t="s">
        <v>705</v>
      </c>
      <c r="B262" s="3" t="s">
        <v>706</v>
      </c>
      <c r="C262" t="s">
        <v>10</v>
      </c>
      <c r="D262" t="s">
        <v>563</v>
      </c>
      <c r="E262" t="s">
        <v>49</v>
      </c>
      <c r="F262" t="s">
        <v>21</v>
      </c>
      <c r="G262" t="s">
        <v>69</v>
      </c>
      <c r="H262" s="1" t="s">
        <v>23</v>
      </c>
      <c r="I262" t="str">
        <f>UPPER(SuperMarket[Ville])</f>
        <v>YAOUNDÉ</v>
      </c>
      <c r="J262" t="str">
        <f>UPPER(SuperMarket[Marque])</f>
        <v>JADIDA</v>
      </c>
      <c r="K262" s="5">
        <f>(SuperMarket[[#This Row],[Qté]]*SuperMarket[[#This Row],[Prix_Unit]])</f>
        <v>14400</v>
      </c>
      <c r="L262" s="4" t="str">
        <f>TEXT(DATE(RIGHT(SuperMarket[[#This Row],[Date]],4),MID(SuperMarket[[#This Row],[Date]],4,2),LEFT(SuperMarket[[#This Row],[Date]],2)),"mmmm")</f>
        <v>December</v>
      </c>
    </row>
    <row r="263" spans="1:12" x14ac:dyDescent="0.3">
      <c r="A263" t="s">
        <v>707</v>
      </c>
      <c r="B263" s="3" t="s">
        <v>708</v>
      </c>
      <c r="C263" t="s">
        <v>26</v>
      </c>
      <c r="D263" t="s">
        <v>585</v>
      </c>
      <c r="E263" t="s">
        <v>43</v>
      </c>
      <c r="F263" t="s">
        <v>29</v>
      </c>
      <c r="G263" t="s">
        <v>44</v>
      </c>
      <c r="H263" s="1" t="s">
        <v>45</v>
      </c>
      <c r="I263" t="str">
        <f>UPPER(SuperMarket[Ville])</f>
        <v>GAROUA</v>
      </c>
      <c r="J263" t="str">
        <f>UPPER(SuperMarket[Marque])</f>
        <v>TOP</v>
      </c>
      <c r="K263" s="5">
        <f>(SuperMarket[[#This Row],[Qté]]*SuperMarket[[#This Row],[Prix_Unit]])</f>
        <v>9000</v>
      </c>
      <c r="L263" s="4" t="str">
        <f>TEXT(DATE(RIGHT(SuperMarket[[#This Row],[Date]],4),MID(SuperMarket[[#This Row],[Date]],4,2),LEFT(SuperMarket[[#This Row],[Date]],2)),"mmmm")</f>
        <v>December</v>
      </c>
    </row>
    <row r="264" spans="1:12" x14ac:dyDescent="0.3">
      <c r="A264" t="s">
        <v>709</v>
      </c>
      <c r="B264" s="3" t="s">
        <v>191</v>
      </c>
      <c r="C264" t="s">
        <v>34</v>
      </c>
      <c r="D264" t="s">
        <v>233</v>
      </c>
      <c r="E264" t="s">
        <v>234</v>
      </c>
      <c r="F264" t="s">
        <v>13</v>
      </c>
      <c r="G264" t="s">
        <v>194</v>
      </c>
      <c r="H264" s="1" t="s">
        <v>235</v>
      </c>
      <c r="I264" t="str">
        <f>UPPER(SuperMarket[Ville])</f>
        <v>DOUALA</v>
      </c>
      <c r="J264" t="str">
        <f>UPPER(SuperMarket[Marque])</f>
        <v>CHANEL</v>
      </c>
      <c r="K264" s="5">
        <f>(SuperMarket[[#This Row],[Qté]]*SuperMarket[[#This Row],[Prix_Unit]])</f>
        <v>75000</v>
      </c>
      <c r="L264" s="4" t="str">
        <f>TEXT(DATE(RIGHT(SuperMarket[[#This Row],[Date]],4),MID(SuperMarket[[#This Row],[Date]],4,2),LEFT(SuperMarket[[#This Row],[Date]],2)),"mmmm")</f>
        <v>December</v>
      </c>
    </row>
    <row r="265" spans="1:12" x14ac:dyDescent="0.3">
      <c r="A265" t="s">
        <v>710</v>
      </c>
      <c r="B265" s="3" t="s">
        <v>197</v>
      </c>
      <c r="C265" t="s">
        <v>10</v>
      </c>
      <c r="D265" t="s">
        <v>582</v>
      </c>
      <c r="E265" t="s">
        <v>88</v>
      </c>
      <c r="F265" t="s">
        <v>56</v>
      </c>
      <c r="G265" t="s">
        <v>118</v>
      </c>
      <c r="H265" s="1" t="s">
        <v>58</v>
      </c>
      <c r="I265" t="str">
        <f>UPPER(SuperMarket[Ville])</f>
        <v>KRIBI</v>
      </c>
      <c r="J265" t="str">
        <f>UPPER(SuperMarket[Marque])</f>
        <v>SOSUCAM</v>
      </c>
      <c r="K265" s="5">
        <f>(SuperMarket[[#This Row],[Qté]]*SuperMarket[[#This Row],[Prix_Unit]])</f>
        <v>21250</v>
      </c>
      <c r="L265" s="4" t="str">
        <f>TEXT(DATE(RIGHT(SuperMarket[[#This Row],[Date]],4),MID(SuperMarket[[#This Row],[Date]],4,2),LEFT(SuperMarket[[#This Row],[Date]],2)),"mmmm")</f>
        <v>December</v>
      </c>
    </row>
    <row r="266" spans="1:12" x14ac:dyDescent="0.3">
      <c r="A266" t="s">
        <v>711</v>
      </c>
      <c r="B266" s="3" t="s">
        <v>201</v>
      </c>
      <c r="C266" t="s">
        <v>26</v>
      </c>
      <c r="D266" t="s">
        <v>523</v>
      </c>
      <c r="E266" t="s">
        <v>370</v>
      </c>
      <c r="F266" t="s">
        <v>21</v>
      </c>
      <c r="G266" t="s">
        <v>38</v>
      </c>
      <c r="H266" s="1" t="s">
        <v>371</v>
      </c>
      <c r="I266" t="str">
        <f>UPPER(SuperMarket[Ville])</f>
        <v>YAOUNDÉ</v>
      </c>
      <c r="J266" t="str">
        <f>UPPER(SuperMarket[Marque])</f>
        <v>CHIVAS</v>
      </c>
      <c r="K266" s="5">
        <f>(SuperMarket[[#This Row],[Qté]]*SuperMarket[[#This Row],[Prix_Unit]])</f>
        <v>70000</v>
      </c>
      <c r="L266" s="4" t="str">
        <f>TEXT(DATE(RIGHT(SuperMarket[[#This Row],[Date]],4),MID(SuperMarket[[#This Row],[Date]],4,2),LEFT(SuperMarket[[#This Row],[Date]],2)),"mmmm")</f>
        <v>December</v>
      </c>
    </row>
    <row r="267" spans="1:12" x14ac:dyDescent="0.3">
      <c r="A267" t="s">
        <v>712</v>
      </c>
      <c r="B267" s="3" t="s">
        <v>526</v>
      </c>
      <c r="C267" t="s">
        <v>18</v>
      </c>
      <c r="D267" t="s">
        <v>433</v>
      </c>
      <c r="E267" t="s">
        <v>239</v>
      </c>
      <c r="F267" t="s">
        <v>13</v>
      </c>
      <c r="G267" t="s">
        <v>22</v>
      </c>
      <c r="H267" s="1" t="s">
        <v>23</v>
      </c>
      <c r="I267" t="str">
        <f>UPPER(SuperMarket[Ville])</f>
        <v>DOUALA</v>
      </c>
      <c r="J267" t="str">
        <f>UPPER(SuperMarket[Marque])</f>
        <v>MADAR</v>
      </c>
      <c r="K267" s="5">
        <f>(SuperMarket[[#This Row],[Qté]]*SuperMarket[[#This Row],[Prix_Unit]])</f>
        <v>6000</v>
      </c>
      <c r="L267" s="4" t="str">
        <f>TEXT(DATE(RIGHT(SuperMarket[[#This Row],[Date]],4),MID(SuperMarket[[#This Row],[Date]],4,2),LEFT(SuperMarket[[#This Row],[Date]],2)),"mmmm")</f>
        <v>December</v>
      </c>
    </row>
    <row r="268" spans="1:12" x14ac:dyDescent="0.3">
      <c r="A268" t="s">
        <v>713</v>
      </c>
      <c r="B268" s="3" t="s">
        <v>206</v>
      </c>
      <c r="C268" t="s">
        <v>10</v>
      </c>
      <c r="D268" t="s">
        <v>116</v>
      </c>
      <c r="E268" t="s">
        <v>117</v>
      </c>
      <c r="F268" t="s">
        <v>29</v>
      </c>
      <c r="G268" t="s">
        <v>30</v>
      </c>
      <c r="H268" s="1" t="s">
        <v>119</v>
      </c>
      <c r="I268" t="str">
        <f>UPPER(SuperMarket[Ville])</f>
        <v>GAROUA</v>
      </c>
      <c r="J268" t="str">
        <f>UPPER(SuperMarket[Marque])</f>
        <v>SGMC</v>
      </c>
      <c r="K268" s="5">
        <f>(SuperMarket[[#This Row],[Qté]]*SuperMarket[[#This Row],[Prix_Unit]])</f>
        <v>15000</v>
      </c>
      <c r="L268" s="4" t="str">
        <f>TEXT(DATE(RIGHT(SuperMarket[[#This Row],[Date]],4),MID(SuperMarket[[#This Row],[Date]],4,2),LEFT(SuperMarket[[#This Row],[Date]],2)),"mmmm")</f>
        <v>December</v>
      </c>
    </row>
    <row r="269" spans="1:12" x14ac:dyDescent="0.3">
      <c r="A269" t="s">
        <v>714</v>
      </c>
      <c r="B269" s="3" t="s">
        <v>715</v>
      </c>
      <c r="C269" t="s">
        <v>26</v>
      </c>
      <c r="D269" t="s">
        <v>631</v>
      </c>
      <c r="E269" t="s">
        <v>247</v>
      </c>
      <c r="F269" t="s">
        <v>37</v>
      </c>
      <c r="G269" t="s">
        <v>137</v>
      </c>
      <c r="H269" s="1" t="s">
        <v>138</v>
      </c>
      <c r="I269" t="str">
        <f>UPPER(SuperMarket[Ville])</f>
        <v>BAFOUSSAM</v>
      </c>
      <c r="J269" t="str">
        <f>UPPER(SuperMarket[Marque])</f>
        <v>SUPERMONT</v>
      </c>
      <c r="K269" s="5">
        <f>(SuperMarket[[#This Row],[Qté]]*SuperMarket[[#This Row],[Prix_Unit]])</f>
        <v>12500</v>
      </c>
      <c r="L269" s="4" t="str">
        <f>TEXT(DATE(RIGHT(SuperMarket[[#This Row],[Date]],4),MID(SuperMarket[[#This Row],[Date]],4,2),LEFT(SuperMarket[[#This Row],[Date]],2)),"mmmm")</f>
        <v>January</v>
      </c>
    </row>
    <row r="270" spans="1:12" x14ac:dyDescent="0.3">
      <c r="A270" t="s">
        <v>716</v>
      </c>
      <c r="B270" s="3" t="s">
        <v>213</v>
      </c>
      <c r="C270" t="s">
        <v>34</v>
      </c>
      <c r="D270" t="s">
        <v>286</v>
      </c>
      <c r="E270" t="s">
        <v>287</v>
      </c>
      <c r="F270" t="s">
        <v>13</v>
      </c>
      <c r="G270" t="s">
        <v>69</v>
      </c>
      <c r="H270" s="1" t="s">
        <v>216</v>
      </c>
      <c r="I270" t="str">
        <f>UPPER(SuperMarket[Ville])</f>
        <v>DOUALA</v>
      </c>
      <c r="J270" t="str">
        <f>UPPER(SuperMarket[Marque])</f>
        <v>ORAL-B</v>
      </c>
      <c r="K270" s="5">
        <f>(SuperMarket[[#This Row],[Qté]]*SuperMarket[[#This Row],[Prix_Unit]])</f>
        <v>18000</v>
      </c>
      <c r="L270" s="4" t="str">
        <f>TEXT(DATE(RIGHT(SuperMarket[[#This Row],[Date]],4),MID(SuperMarket[[#This Row],[Date]],4,2),LEFT(SuperMarket[[#This Row],[Date]],2)),"mmmm")</f>
        <v>January</v>
      </c>
    </row>
    <row r="271" spans="1:12" x14ac:dyDescent="0.3">
      <c r="A271" t="s">
        <v>717</v>
      </c>
      <c r="B271" s="3" t="s">
        <v>25</v>
      </c>
      <c r="C271" t="s">
        <v>10</v>
      </c>
      <c r="D271" t="s">
        <v>570</v>
      </c>
      <c r="E271" t="s">
        <v>571</v>
      </c>
      <c r="F271" t="s">
        <v>21</v>
      </c>
      <c r="G271" t="s">
        <v>57</v>
      </c>
      <c r="H271" s="1" t="s">
        <v>39</v>
      </c>
      <c r="I271" t="str">
        <f>UPPER(SuperMarket[Ville])</f>
        <v>YAOUNDÉ</v>
      </c>
      <c r="J271" t="str">
        <f>UPPER(SuperMarket[Marque])</f>
        <v>VITA</v>
      </c>
      <c r="K271" s="5">
        <f>(SuperMarket[[#This Row],[Qté]]*SuperMarket[[#This Row],[Prix_Unit]])</f>
        <v>14000</v>
      </c>
      <c r="L271" s="4" t="str">
        <f>TEXT(DATE(RIGHT(SuperMarket[[#This Row],[Date]],4),MID(SuperMarket[[#This Row],[Date]],4,2),LEFT(SuperMarket[[#This Row],[Date]],2)),"mmmm")</f>
        <v>January</v>
      </c>
    </row>
    <row r="272" spans="1:12" x14ac:dyDescent="0.3">
      <c r="B272"/>
      <c r="H272"/>
    </row>
    <row r="273" spans="2:8" x14ac:dyDescent="0.3">
      <c r="B273"/>
      <c r="H273"/>
    </row>
  </sheetData>
  <dataConsolidate/>
  <phoneticPr fontId="2" type="noConversion"/>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B6923C-E623-4797-8A8A-6B0EF4E89FE7}">
  <dimension ref="A3:L36"/>
  <sheetViews>
    <sheetView zoomScale="55" zoomScaleNormal="55" workbookViewId="0">
      <selection activeCell="A3" sqref="A3"/>
      <pivotSelection pane="bottomRight" activeRow="3" previousRow="3" click="2" r:id="rId4">
        <pivotArea field="7" type="button" dataOnly="0" labelOnly="1" outline="0" axis="axisRow" fieldPosition="0"/>
      </pivotSelection>
    </sheetView>
  </sheetViews>
  <sheetFormatPr baseColWidth="10" defaultRowHeight="14.4" x14ac:dyDescent="0.3"/>
  <cols>
    <col min="1" max="1" width="27.77734375" bestFit="1" customWidth="1"/>
    <col min="2" max="2" width="25.5546875" bestFit="1" customWidth="1"/>
    <col min="5" max="5" width="27.77734375" bestFit="1" customWidth="1"/>
    <col min="6" max="6" width="19.5546875" bestFit="1" customWidth="1"/>
    <col min="7" max="7" width="18.77734375" bestFit="1" customWidth="1"/>
    <col min="9" max="9" width="27.77734375" bestFit="1" customWidth="1"/>
    <col min="11" max="11" width="27.77734375" bestFit="1" customWidth="1"/>
    <col min="12" max="12" width="25.5546875" bestFit="1" customWidth="1"/>
  </cols>
  <sheetData>
    <row r="3" spans="1:12" x14ac:dyDescent="0.3">
      <c r="A3" s="6" t="s">
        <v>722</v>
      </c>
      <c r="B3" t="s">
        <v>725</v>
      </c>
      <c r="F3" s="6" t="s">
        <v>722</v>
      </c>
      <c r="G3" t="s">
        <v>725</v>
      </c>
      <c r="I3" s="6" t="s">
        <v>722</v>
      </c>
      <c r="K3" s="6" t="s">
        <v>722</v>
      </c>
      <c r="L3" t="s">
        <v>725</v>
      </c>
    </row>
    <row r="4" spans="1:12" x14ac:dyDescent="0.3">
      <c r="A4" s="7" t="s">
        <v>723</v>
      </c>
      <c r="B4" s="8">
        <v>484900</v>
      </c>
      <c r="F4" s="7" t="s">
        <v>10</v>
      </c>
      <c r="G4" s="4">
        <v>1735800</v>
      </c>
      <c r="I4" s="7" t="s">
        <v>14</v>
      </c>
      <c r="K4" s="7" t="s">
        <v>78</v>
      </c>
      <c r="L4" s="4">
        <v>154500</v>
      </c>
    </row>
    <row r="5" spans="1:12" x14ac:dyDescent="0.3">
      <c r="A5" s="7" t="s">
        <v>724</v>
      </c>
      <c r="B5" s="8">
        <v>484900</v>
      </c>
      <c r="F5" s="7" t="s">
        <v>34</v>
      </c>
      <c r="G5" s="4">
        <v>1191700</v>
      </c>
      <c r="I5" s="9" t="s">
        <v>21</v>
      </c>
      <c r="K5" s="7" t="s">
        <v>499</v>
      </c>
      <c r="L5" s="4">
        <v>175000</v>
      </c>
    </row>
    <row r="6" spans="1:12" x14ac:dyDescent="0.3">
      <c r="F6" s="7" t="s">
        <v>26</v>
      </c>
      <c r="G6" s="4">
        <v>1849700</v>
      </c>
      <c r="I6" s="7" t="s">
        <v>69</v>
      </c>
      <c r="K6" s="7" t="s">
        <v>203</v>
      </c>
      <c r="L6" s="4">
        <v>175000</v>
      </c>
    </row>
    <row r="7" spans="1:12" x14ac:dyDescent="0.3">
      <c r="F7" s="7" t="s">
        <v>18</v>
      </c>
      <c r="G7" s="4">
        <v>781250</v>
      </c>
      <c r="I7" s="9" t="s">
        <v>21</v>
      </c>
      <c r="K7" s="7" t="s">
        <v>531</v>
      </c>
      <c r="L7" s="4">
        <v>220000</v>
      </c>
    </row>
    <row r="8" spans="1:12" x14ac:dyDescent="0.3">
      <c r="F8" s="7" t="s">
        <v>726</v>
      </c>
      <c r="G8" s="4"/>
      <c r="I8" s="7" t="s">
        <v>44</v>
      </c>
      <c r="K8" s="7" t="s">
        <v>211</v>
      </c>
      <c r="L8" s="4">
        <v>385100</v>
      </c>
    </row>
    <row r="9" spans="1:12" x14ac:dyDescent="0.3">
      <c r="F9" s="7" t="s">
        <v>724</v>
      </c>
      <c r="G9" s="4">
        <v>5558450</v>
      </c>
      <c r="I9" s="9" t="s">
        <v>21</v>
      </c>
      <c r="K9" s="7" t="s">
        <v>724</v>
      </c>
      <c r="L9" s="4">
        <v>1109600</v>
      </c>
    </row>
    <row r="10" spans="1:12" x14ac:dyDescent="0.3">
      <c r="I10" s="7" t="s">
        <v>586</v>
      </c>
    </row>
    <row r="11" spans="1:12" x14ac:dyDescent="0.3">
      <c r="I11" s="9" t="s">
        <v>21</v>
      </c>
    </row>
    <row r="12" spans="1:12" x14ac:dyDescent="0.3">
      <c r="I12" s="7" t="s">
        <v>38</v>
      </c>
    </row>
    <row r="13" spans="1:12" x14ac:dyDescent="0.3">
      <c r="I13" s="9" t="s">
        <v>21</v>
      </c>
    </row>
    <row r="14" spans="1:12" x14ac:dyDescent="0.3">
      <c r="I14" s="7" t="s">
        <v>30</v>
      </c>
    </row>
    <row r="15" spans="1:12" x14ac:dyDescent="0.3">
      <c r="I15" s="9" t="s">
        <v>21</v>
      </c>
    </row>
    <row r="16" spans="1:12" x14ac:dyDescent="0.3">
      <c r="I16" s="7" t="s">
        <v>63</v>
      </c>
    </row>
    <row r="17" spans="9:9" x14ac:dyDescent="0.3">
      <c r="I17" s="9" t="s">
        <v>21</v>
      </c>
    </row>
    <row r="18" spans="9:9" x14ac:dyDescent="0.3">
      <c r="I18" s="7" t="s">
        <v>118</v>
      </c>
    </row>
    <row r="19" spans="9:9" x14ac:dyDescent="0.3">
      <c r="I19" s="9" t="s">
        <v>21</v>
      </c>
    </row>
    <row r="20" spans="9:9" x14ac:dyDescent="0.3">
      <c r="I20" s="7" t="s">
        <v>79</v>
      </c>
    </row>
    <row r="21" spans="9:9" x14ac:dyDescent="0.3">
      <c r="I21" s="9" t="s">
        <v>21</v>
      </c>
    </row>
    <row r="22" spans="9:9" x14ac:dyDescent="0.3">
      <c r="I22" s="7" t="s">
        <v>109</v>
      </c>
    </row>
    <row r="23" spans="9:9" x14ac:dyDescent="0.3">
      <c r="I23" s="9" t="s">
        <v>21</v>
      </c>
    </row>
    <row r="24" spans="9:9" x14ac:dyDescent="0.3">
      <c r="I24" s="7" t="s">
        <v>390</v>
      </c>
    </row>
    <row r="25" spans="9:9" x14ac:dyDescent="0.3">
      <c r="I25" s="9" t="s">
        <v>21</v>
      </c>
    </row>
    <row r="26" spans="9:9" x14ac:dyDescent="0.3">
      <c r="I26" s="7" t="s">
        <v>57</v>
      </c>
    </row>
    <row r="27" spans="9:9" x14ac:dyDescent="0.3">
      <c r="I27" s="9" t="s">
        <v>21</v>
      </c>
    </row>
    <row r="28" spans="9:9" x14ac:dyDescent="0.3">
      <c r="I28" s="7" t="s">
        <v>22</v>
      </c>
    </row>
    <row r="29" spans="9:9" x14ac:dyDescent="0.3">
      <c r="I29" s="9" t="s">
        <v>21</v>
      </c>
    </row>
    <row r="30" spans="9:9" x14ac:dyDescent="0.3">
      <c r="I30" s="7" t="s">
        <v>137</v>
      </c>
    </row>
    <row r="31" spans="9:9" x14ac:dyDescent="0.3">
      <c r="I31" s="9" t="s">
        <v>21</v>
      </c>
    </row>
    <row r="32" spans="9:9" x14ac:dyDescent="0.3">
      <c r="I32" s="7" t="s">
        <v>84</v>
      </c>
    </row>
    <row r="33" spans="9:9" x14ac:dyDescent="0.3">
      <c r="I33" s="9" t="s">
        <v>21</v>
      </c>
    </row>
    <row r="34" spans="9:9" x14ac:dyDescent="0.3">
      <c r="I34" s="7" t="s">
        <v>50</v>
      </c>
    </row>
    <row r="35" spans="9:9" x14ac:dyDescent="0.3">
      <c r="I35" s="9" t="s">
        <v>21</v>
      </c>
    </row>
    <row r="36" spans="9:9" x14ac:dyDescent="0.3">
      <c r="I36" s="7" t="s">
        <v>724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851C06-EFA6-4ED6-A7AA-D555802F0E37}">
  <dimension ref="A1:Q69"/>
  <sheetViews>
    <sheetView showGridLines="0" tabSelected="1" topLeftCell="D38" zoomScale="70" zoomScaleNormal="70" workbookViewId="0">
      <selection activeCell="Y50" sqref="Y50"/>
    </sheetView>
  </sheetViews>
  <sheetFormatPr baseColWidth="10" defaultRowHeight="14.4" x14ac:dyDescent="0.3"/>
  <cols>
    <col min="12" max="12" width="2" customWidth="1"/>
    <col min="13" max="13" width="14.109375" hidden="1" customWidth="1"/>
    <col min="14" max="15" width="11.5546875" hidden="1" customWidth="1"/>
    <col min="16" max="16" width="31.33203125" hidden="1" customWidth="1"/>
    <col min="17" max="17" width="85.5546875" customWidth="1"/>
  </cols>
  <sheetData>
    <row r="1" spans="1:1" ht="31.2" x14ac:dyDescent="0.6">
      <c r="A1" s="10" t="s">
        <v>727</v>
      </c>
    </row>
    <row r="3" spans="1:1" ht="23.4" x14ac:dyDescent="0.45">
      <c r="A3" s="11" t="s">
        <v>728</v>
      </c>
    </row>
    <row r="50" spans="10:17" ht="409.6" customHeight="1" x14ac:dyDescent="0.5">
      <c r="L50" t="s">
        <v>746</v>
      </c>
      <c r="M50" s="12" t="s">
        <v>729</v>
      </c>
      <c r="Q50" s="17" t="s">
        <v>747</v>
      </c>
    </row>
    <row r="51" spans="10:17" ht="138.6" x14ac:dyDescent="0.3">
      <c r="J51" s="12" t="s">
        <v>729</v>
      </c>
      <c r="M51" s="13" t="s">
        <v>730</v>
      </c>
    </row>
    <row r="52" spans="10:17" ht="75" x14ac:dyDescent="0.3">
      <c r="J52" s="13" t="s">
        <v>730</v>
      </c>
      <c r="M52" s="14" t="s">
        <v>731</v>
      </c>
    </row>
    <row r="53" spans="10:17" ht="120" x14ac:dyDescent="0.3">
      <c r="J53" s="14" t="s">
        <v>731</v>
      </c>
      <c r="M53" s="15" t="s">
        <v>732</v>
      </c>
    </row>
    <row r="54" spans="10:17" ht="120" x14ac:dyDescent="0.3">
      <c r="J54" s="15" t="s">
        <v>732</v>
      </c>
      <c r="M54" s="14" t="s">
        <v>733</v>
      </c>
    </row>
    <row r="55" spans="10:17" ht="150" x14ac:dyDescent="0.3">
      <c r="J55" s="14" t="s">
        <v>733</v>
      </c>
      <c r="M55" s="15" t="s">
        <v>734</v>
      </c>
    </row>
    <row r="56" spans="10:17" ht="150" x14ac:dyDescent="0.3">
      <c r="J56" s="15" t="s">
        <v>734</v>
      </c>
    </row>
    <row r="57" spans="10:17" ht="134.4" x14ac:dyDescent="0.3">
      <c r="M57" s="13" t="s">
        <v>735</v>
      </c>
    </row>
    <row r="58" spans="10:17" ht="134.4" x14ac:dyDescent="0.3">
      <c r="J58" s="13" t="s">
        <v>735</v>
      </c>
      <c r="M58" s="14" t="s">
        <v>736</v>
      </c>
    </row>
    <row r="59" spans="10:17" ht="150" x14ac:dyDescent="0.3">
      <c r="J59" s="14" t="s">
        <v>736</v>
      </c>
      <c r="M59" s="16" t="s">
        <v>737</v>
      </c>
    </row>
    <row r="60" spans="10:17" ht="180" x14ac:dyDescent="0.3">
      <c r="J60" s="16" t="s">
        <v>737</v>
      </c>
      <c r="M60" s="16" t="s">
        <v>738</v>
      </c>
    </row>
    <row r="61" spans="10:17" ht="180" x14ac:dyDescent="0.3">
      <c r="J61" s="16" t="s">
        <v>738</v>
      </c>
    </row>
    <row r="62" spans="10:17" ht="57.6" x14ac:dyDescent="0.3">
      <c r="M62" s="13" t="s">
        <v>739</v>
      </c>
    </row>
    <row r="63" spans="10:17" ht="75" x14ac:dyDescent="0.3">
      <c r="J63" s="13" t="s">
        <v>739</v>
      </c>
      <c r="M63" s="14" t="s">
        <v>740</v>
      </c>
    </row>
    <row r="64" spans="10:17" ht="150" x14ac:dyDescent="0.3">
      <c r="J64" s="14" t="s">
        <v>740</v>
      </c>
      <c r="M64" s="16" t="s">
        <v>741</v>
      </c>
    </row>
    <row r="65" spans="10:13" ht="150" x14ac:dyDescent="0.3">
      <c r="J65" s="16" t="s">
        <v>741</v>
      </c>
      <c r="M65" s="16" t="s">
        <v>742</v>
      </c>
    </row>
    <row r="66" spans="10:13" ht="105" x14ac:dyDescent="0.3">
      <c r="J66" s="16" t="s">
        <v>742</v>
      </c>
      <c r="M66" s="14" t="s">
        <v>743</v>
      </c>
    </row>
    <row r="67" spans="10:13" ht="300" x14ac:dyDescent="0.3">
      <c r="J67" s="14" t="s">
        <v>743</v>
      </c>
      <c r="M67" s="16" t="s">
        <v>744</v>
      </c>
    </row>
    <row r="68" spans="10:13" ht="300" x14ac:dyDescent="0.3">
      <c r="J68" s="16" t="s">
        <v>744</v>
      </c>
      <c r="M68" s="16" t="s">
        <v>745</v>
      </c>
    </row>
    <row r="69" spans="10:13" ht="150" x14ac:dyDescent="0.3">
      <c r="J69" s="16" t="s">
        <v>745</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F022E92-CBFE-412D-BBBD-9782C3CB427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SuperMarket</vt:lpstr>
      <vt:lpstr>Calculs_TCD</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maya disney olive</dc:creator>
  <cp:lastModifiedBy>maya disney olive</cp:lastModifiedBy>
  <dcterms:created xsi:type="dcterms:W3CDTF">2026-04-13T19:05:47Z</dcterms:created>
  <dcterms:modified xsi:type="dcterms:W3CDTF">2026-04-22T22:56:18Z</dcterms:modified>
</cp:coreProperties>
</file>